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luis\Dropbox\PC\Downloads\"/>
    </mc:Choice>
  </mc:AlternateContent>
  <xr:revisionPtr revIDLastSave="0" documentId="13_ncr:1_{F9DFDF80-79AE-498C-BB36-6025853D0DAA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README" sheetId="1" r:id="rId1"/>
    <sheet name="Table9_After_Orders" sheetId="3" r:id="rId2"/>
    <sheet name="Table9_Status_Events" sheetId="4" r:id="rId3"/>
    <sheet name="Analytics_Summary" sheetId="5" r:id="rId4"/>
    <sheet name="Data_Dictionary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5" l="1"/>
  <c r="B36" i="5"/>
  <c r="B35" i="5"/>
  <c r="B34" i="5"/>
  <c r="B33" i="5"/>
  <c r="B32" i="5"/>
  <c r="B28" i="5"/>
  <c r="B27" i="5"/>
  <c r="B26" i="5"/>
  <c r="B25" i="5"/>
  <c r="B24" i="5"/>
  <c r="B23" i="5"/>
  <c r="B19" i="5"/>
  <c r="B18" i="5"/>
  <c r="B17" i="5"/>
  <c r="B16" i="5"/>
  <c r="B15" i="5"/>
  <c r="B14" i="5"/>
  <c r="B10" i="5"/>
  <c r="B9" i="5"/>
  <c r="B8" i="5"/>
  <c r="B7" i="5"/>
  <c r="B6" i="5"/>
  <c r="B5" i="5"/>
  <c r="B4" i="5"/>
  <c r="B3" i="5"/>
</calcChain>
</file>

<file path=xl/sharedStrings.xml><?xml version="1.0" encoding="utf-8"?>
<sst xmlns="http://schemas.openxmlformats.org/spreadsheetml/2006/main" count="2097" uniqueCount="282">
  <si>
    <t>ServiTech Raw Data Workbook</t>
  </si>
  <si>
    <t>Purpose</t>
  </si>
  <si>
    <t>Dummy raw data for Table 8 (before manual walk-in workflow) and Table 9 (after ServiTech-assisted workflow).</t>
  </si>
  <si>
    <t>Source Alignment</t>
  </si>
  <si>
    <t>Table 8 follows the uploaded document total of 558 minutes and average of 11.16 minutes. Table 9 follows the attached conversion workbook and adds Uma Patricia Lim as the 50th transaction.</t>
  </si>
  <si>
    <t>Date Scope for Table 9</t>
  </si>
  <si>
    <t>2026-06-08 to 2026-06-13, with request creation times within 3:00 PM to 5:00 PM.</t>
  </si>
  <si>
    <t>Final Status Rule</t>
  </si>
  <si>
    <t>All after-implementation orders are marked DONE.</t>
  </si>
  <si>
    <t>GCash Flow</t>
  </si>
  <si>
    <t>PENDING -&gt; APPROVED -&gt; ONGOING -&gt; FOR PICK-UP -&gt; DONE, or PENDING -&gt; APPROVED -&gt; ONGOING -&gt; DONE.</t>
  </si>
  <si>
    <t>Cash Flow</t>
  </si>
  <si>
    <t>PENDING -&gt; ONGOING -&gt; FOR PICK-UP -&gt; DONE, or PENDING -&gt; ONGOING -&gt; DONE.</t>
  </si>
  <si>
    <t>Analytics Coverage</t>
  </si>
  <si>
    <t>Average queue waiting time, average service processing time, longest waiting request, queue status distribution, average time in each status, status transition history, and completion rate.</t>
  </si>
  <si>
    <t>Generated File Note</t>
  </si>
  <si>
    <t>Data is dummy/sample data for documentation, testing, and analytics demonstration only.</t>
  </si>
  <si>
    <t>Transaction No.</t>
  </si>
  <si>
    <t>Type of Request</t>
  </si>
  <si>
    <t>Workflow Handling Time (min)</t>
  </si>
  <si>
    <t>Notes</t>
  </si>
  <si>
    <t>Document Printing</t>
  </si>
  <si>
    <t>Lamination</t>
  </si>
  <si>
    <t>Rush ID</t>
  </si>
  <si>
    <t>Repair Inquiry / Initial Assessment</t>
  </si>
  <si>
    <t>Photocopy</t>
  </si>
  <si>
    <t>Installation Service</t>
  </si>
  <si>
    <t>Customer Name</t>
  </si>
  <si>
    <t>Queue ID</t>
  </si>
  <si>
    <t>Payment Method</t>
  </si>
  <si>
    <t>GCash Reference No.</t>
  </si>
  <si>
    <t>Completion Route</t>
  </si>
  <si>
    <t>Request Created At</t>
  </si>
  <si>
    <t>Pending At</t>
  </si>
  <si>
    <t>Approved At</t>
  </si>
  <si>
    <t>Ongoing At</t>
  </si>
  <si>
    <t>For Pick-up At</t>
  </si>
  <si>
    <t>Done At</t>
  </si>
  <si>
    <t>Final Status</t>
  </si>
  <si>
    <t>Current Status</t>
  </si>
  <si>
    <t>Queue Waiting Time (min)</t>
  </si>
  <si>
    <t>Service Processing Time (min)</t>
  </si>
  <si>
    <t>Pending Status Min</t>
  </si>
  <si>
    <t>Approved Status Min</t>
  </si>
  <si>
    <t>Ongoing Status Min</t>
  </si>
  <si>
    <t>For Pick-up Status Min</t>
  </si>
  <si>
    <t>Completion Flag</t>
  </si>
  <si>
    <t>System Status Flow</t>
  </si>
  <si>
    <t>Status Transition History</t>
  </si>
  <si>
    <t>Althea Marielle Santos</t>
  </si>
  <si>
    <t>P20260608-0001</t>
  </si>
  <si>
    <t>GCASH</t>
  </si>
  <si>
    <t>9202606000001</t>
  </si>
  <si>
    <t>FOR PICK-UP</t>
  </si>
  <si>
    <t>DONE</t>
  </si>
  <si>
    <t>PENDING -&gt; APPROVED -&gt; ONGOING -&gt; FOR PICK-UP -&gt; DONE</t>
  </si>
  <si>
    <t>PENDING @ 2026-06-08 03:36:30 PM | APPROVED @ 2026-06-08 03:39:30 PM | ONGOING @ 2026-06-08 03:41:30 PM | FOR PICK-UP @ 2026-06-08 03:52:30 PM | DONE @ 2026-06-08 04:01:30 PM</t>
  </si>
  <si>
    <t>Completed order; dummy raw status-timestamp data for analytics.</t>
  </si>
  <si>
    <t>Bea Cassandra Tuazon</t>
  </si>
  <si>
    <t>P20260608-0002</t>
  </si>
  <si>
    <t>9202606000002</t>
  </si>
  <si>
    <t>PENDING @ 2026-06-08 03:55:30 PM | APPROVED @ 2026-06-08 03:58:30 PM | ONGOING @ 2026-06-08 04:01:30 PM | FOR PICK-UP @ 2026-06-08 04:15:30 PM | DONE @ 2026-06-08 04:29:30 PM</t>
  </si>
  <si>
    <t>Camille Ysabel Navarro</t>
  </si>
  <si>
    <t>P20260608-0003</t>
  </si>
  <si>
    <t>CASH</t>
  </si>
  <si>
    <t>PENDING -&gt; ONGOING -&gt; FOR PICK-UP -&gt; DONE</t>
  </si>
  <si>
    <t>PENDING @ 2026-06-08 04:34:13 PM | ONGOING @ 2026-06-08 04:36:13 PM | FOR PICK-UP @ 2026-06-08 04:53:13 PM | DONE @ 2026-06-08 05:00:13 PM</t>
  </si>
  <si>
    <t>Dianne Rochelle Mercado</t>
  </si>
  <si>
    <t>P20260608-0004</t>
  </si>
  <si>
    <t>9202606000004</t>
  </si>
  <si>
    <t>PENDING @ 2026-06-08 04:40:39 PM | APPROVED @ 2026-06-08 04:43:39 PM | ONGOING @ 2026-06-08 04:45:39 PM | FOR PICK-UP @ 2026-06-08 04:54:39 PM | DONE @ 2026-06-08 05:06:39 PM</t>
  </si>
  <si>
    <t>Ezekiel Rafael Dizon</t>
  </si>
  <si>
    <t>P20260608-0005</t>
  </si>
  <si>
    <t>PENDING @ 2026-06-08 04:40:49 PM | ONGOING @ 2026-06-08 04:42:49 PM | FOR PICK-UP @ 2026-06-08 04:51:49 PM | DONE @ 2026-06-08 04:56:49 PM</t>
  </si>
  <si>
    <t>Francesca Mae Valerio</t>
  </si>
  <si>
    <t>P20260608-0006</t>
  </si>
  <si>
    <t>9202606000006</t>
  </si>
  <si>
    <t>PENDING @ 2026-06-08 04:49:49 PM | APPROVED @ 2026-06-08 04:53:49 PM | ONGOING @ 2026-06-08 04:54:49 PM | FOR PICK-UP @ 2026-06-08 05:11:49 PM | DONE @ 2026-06-08 05:21:49 PM</t>
  </si>
  <si>
    <t>Gian Carlo Mendoza</t>
  </si>
  <si>
    <t>P20260609-0001</t>
  </si>
  <si>
    <t>PENDING @ 2026-06-09 03:24:20 PM | ONGOING @ 2026-06-09 03:26:20 PM | FOR PICK-UP @ 2026-06-09 03:32:20 PM | DONE @ 2026-06-09 03:47:20 PM</t>
  </si>
  <si>
    <t>Hannah Elise Bautista</t>
  </si>
  <si>
    <t>R20260609-0001</t>
  </si>
  <si>
    <t>DIRECT DONE</t>
  </si>
  <si>
    <t>PENDING -&gt; ONGOING -&gt; DONE</t>
  </si>
  <si>
    <t>PENDING @ 2026-06-09 03:43:41 PM | ONGOING @ 2026-06-09 03:51:41 PM | DONE @ 2026-06-09 04:13:41 PM</t>
  </si>
  <si>
    <t>Ivan Gabriel Soriano</t>
  </si>
  <si>
    <t>P20260609-0003</t>
  </si>
  <si>
    <t>9202606000009</t>
  </si>
  <si>
    <t>PENDING @ 2026-06-09 03:44:54 PM | APPROVED @ 2026-06-09 03:48:54 PM | ONGOING @ 2026-06-09 03:49:54 PM | FOR PICK-UP @ 2026-06-09 04:05:54 PM | DONE @ 2026-06-09 04:18:54 PM</t>
  </si>
  <si>
    <t>Katrina Denise Uy</t>
  </si>
  <si>
    <t>P20260609-0004</t>
  </si>
  <si>
    <t>PENDING @ 2026-06-09 03:47:39 PM | ONGOING @ 2026-06-09 03:49:39 PM | FOR PICK-UP @ 2026-06-09 04:01:39 PM | DONE @ 2026-06-09 04:07:39 PM</t>
  </si>
  <si>
    <t>Janelle Mikaela Villarama</t>
  </si>
  <si>
    <t>P20260609-0005</t>
  </si>
  <si>
    <t>PENDING @ 2026-06-09 03:50:19 PM | ONGOING @ 2026-06-09 03:53:19 PM | FOR PICK-UP @ 2026-06-09 04:00:19 PM | DONE @ 2026-06-09 04:11:19 PM</t>
  </si>
  <si>
    <t>Mikaela Therese Ramos</t>
  </si>
  <si>
    <t>P20260609-0006</t>
  </si>
  <si>
    <t>9202606000012</t>
  </si>
  <si>
    <t>PENDING @ 2026-06-09 03:55:58 PM | APPROVED @ 2026-06-09 03:58:58 PM | ONGOING @ 2026-06-09 03:59:58 PM | FOR PICK-UP @ 2026-06-09 04:10:58 PM | DONE @ 2026-06-09 04:14:58 PM</t>
  </si>
  <si>
    <t>Lance Adrian Caballero</t>
  </si>
  <si>
    <t>P20260609-0007</t>
  </si>
  <si>
    <t>9202606000013</t>
  </si>
  <si>
    <t>PENDING @ 2026-06-09 04:07:10 PM | APPROVED @ 2026-06-09 04:10:10 PM | ONGOING @ 2026-06-09 04:12:10 PM | FOR PICK-UP @ 2026-06-09 04:26:10 PM | DONE @ 2026-06-09 04:35:10 PM</t>
  </si>
  <si>
    <t>Nico Emmanuel Salcedo</t>
  </si>
  <si>
    <t>P20260609-0008</t>
  </si>
  <si>
    <t>PENDING @ 2026-06-09 04:09:06 PM | ONGOING @ 2026-06-09 04:11:06 PM | DONE @ 2026-06-09 04:19:06 PM</t>
  </si>
  <si>
    <t>Olivia Samira Reyes</t>
  </si>
  <si>
    <t>P20260609-0009</t>
  </si>
  <si>
    <t>PENDING @ 2026-06-09 04:29:06 PM | ONGOING @ 2026-06-09 04:31:06 PM | FOR PICK-UP @ 2026-06-09 04:35:06 PM | DONE @ 2026-06-09 04:42:06 PM</t>
  </si>
  <si>
    <t>Quinn Elijah Manalo</t>
  </si>
  <si>
    <t>P20260609-0010</t>
  </si>
  <si>
    <t>PENDING @ 2026-06-09 04:37:29 PM | ONGOING @ 2026-06-09 04:39:29 PM | FOR PICK-UP @ 2026-06-09 04:45:29 PM | DONE @ 2026-06-09 04:57:29 PM</t>
  </si>
  <si>
    <t>Paolo Miguel Villanueva</t>
  </si>
  <si>
    <t>P20260609-0011</t>
  </si>
  <si>
    <t>PENDING @ 2026-06-09 04:40:28 PM | ONGOING @ 2026-06-09 04:43:28 PM | FOR PICK-UP @ 2026-06-09 04:55:28 PM | DONE @ 2026-06-09 05:00:28 PM</t>
  </si>
  <si>
    <t>Rhea Dominique Castillo</t>
  </si>
  <si>
    <t>P20260610-0001</t>
  </si>
  <si>
    <t>9202606000018</t>
  </si>
  <si>
    <t>PENDING @ 2026-06-10 03:11:40 PM | APPROVED @ 2026-06-10 03:14:40 PM | ONGOING @ 2026-06-10 03:15:40 PM | FOR PICK-UP @ 2026-06-10 03:22:40 PM | DONE @ 2026-06-10 03:32:40 PM</t>
  </si>
  <si>
    <t>Samantha Louise Alcantara</t>
  </si>
  <si>
    <t>P20260610-0002</t>
  </si>
  <si>
    <t>9202606000019</t>
  </si>
  <si>
    <t>PENDING @ 2026-06-10 03:49:10 PM | APPROVED @ 2026-06-10 03:53:10 PM | ONGOING @ 2026-06-10 03:55:10 PM | FOR PICK-UP @ 2026-06-10 04:10:10 PM | DONE @ 2026-06-10 04:25:10 PM</t>
  </si>
  <si>
    <t>Theo Nathaniel Garcia</t>
  </si>
  <si>
    <t>P20260610-0003</t>
  </si>
  <si>
    <t>PENDING @ 2026-06-10 03:51:10 PM | ONGOING @ 2026-06-10 03:53:10 PM | DONE @ 2026-06-10 04:01:10 PM</t>
  </si>
  <si>
    <t>Victor Angelo Rosales</t>
  </si>
  <si>
    <t>P20260610-0004</t>
  </si>
  <si>
    <t>9202606000021</t>
  </si>
  <si>
    <t>PENDING @ 2026-06-10 04:15:43 PM | APPROVED @ 2026-06-10 04:18:43 PM | ONGOING @ 2026-06-10 04:19:43 PM | FOR PICK-UP @ 2026-06-10 04:35:43 PM | DONE @ 2026-06-10 04:48:43 PM</t>
  </si>
  <si>
    <t>Winona Clarisse Tan</t>
  </si>
  <si>
    <t>P20260610-0005</t>
  </si>
  <si>
    <t>PENDING @ 2026-06-10 04:26:07 PM | ONGOING @ 2026-06-10 04:28:07 PM | DONE @ 2026-06-10 04:34:07 PM</t>
  </si>
  <si>
    <t>Xavier Luis Enriquez</t>
  </si>
  <si>
    <t>P20260610-0006</t>
  </si>
  <si>
    <t>9202606000023</t>
  </si>
  <si>
    <t>PENDING @ 2026-06-10 04:46:27 PM | APPROVED @ 2026-06-10 04:49:27 PM | ONGOING @ 2026-06-10 04:52:27 PM | FOR PICK-UP @ 2026-06-10 05:03:27 PM | DONE @ 2026-06-10 05:14:27 PM</t>
  </si>
  <si>
    <t>Yna Gabrielle Morales</t>
  </si>
  <si>
    <t>P20260611-0001</t>
  </si>
  <si>
    <t>PENDING @ 2026-06-11 03:17:49 PM | ONGOING @ 2026-06-11 03:19:49 PM | FOR PICK-UP @ 2026-06-11 03:31:49 PM | DONE @ 2026-06-11 03:35:49 PM</t>
  </si>
  <si>
    <t>Zachary Sean De Leon</t>
  </si>
  <si>
    <t>P20260611-0002</t>
  </si>
  <si>
    <t>9202606000025</t>
  </si>
  <si>
    <t>PENDING @ 2026-06-11 03:23:06 PM | APPROVED @ 2026-06-11 03:25:06 PM | ONGOING @ 2026-06-11 03:27:06 PM | FOR PICK-UP @ 2026-06-11 03:44:06 PM | DONE @ 2026-06-11 03:53:06 PM</t>
  </si>
  <si>
    <t>Aira Nicole Baltazar</t>
  </si>
  <si>
    <t>P20260611-0003</t>
  </si>
  <si>
    <t>PENDING @ 2026-06-11 03:39:04 PM | ONGOING @ 2026-06-11 03:41:04 PM | FOR PICK-UP @ 2026-06-11 03:50:04 PM | DONE @ 2026-06-11 04:04:04 PM</t>
  </si>
  <si>
    <t>Bryan Mateo Evangelista</t>
  </si>
  <si>
    <t>P20260611-0004</t>
  </si>
  <si>
    <t>PENDING @ 2026-06-11 04:02:29 PM | ONGOING @ 2026-06-11 04:05:29 PM | FOR PICK-UP @ 2026-06-11 04:16:29 PM | DONE @ 2026-06-11 04:23:29 PM</t>
  </si>
  <si>
    <t>Cheska Noelle Ignacio</t>
  </si>
  <si>
    <t>P20260611-0005</t>
  </si>
  <si>
    <t>9202606000028</t>
  </si>
  <si>
    <t>PENDING @ 2026-06-11 04:11:05 PM | APPROVED @ 2026-06-11 04:14:05 PM | ONGOING @ 2026-06-11 04:16:05 PM | FOR PICK-UP @ 2026-06-11 04:31:05 PM | DONE @ 2026-06-11 04:43:05 PM</t>
  </si>
  <si>
    <t>Daryl Joaquin Ferrer</t>
  </si>
  <si>
    <t>P20260611-0006</t>
  </si>
  <si>
    <t>PENDING @ 2026-06-11 04:19:00 PM | ONGOING @ 2026-06-11 04:22:00 PM | FOR PICK-UP @ 2026-06-11 04:40:00 PM | DONE @ 2026-06-11 04:45:00 PM</t>
  </si>
  <si>
    <t>Elaine Sophia Magtibay</t>
  </si>
  <si>
    <t>P20260611-0007</t>
  </si>
  <si>
    <t>9202606000030</t>
  </si>
  <si>
    <t>PENDING @ 2026-06-11 04:19:54 PM | APPROVED @ 2026-06-11 04:22:54 PM | ONGOING @ 2026-06-11 04:23:54 PM | FOR PICK-UP @ 2026-06-11 04:33:54 PM | DONE @ 2026-06-11 04:43:54 PM</t>
  </si>
  <si>
    <t>Harvey Sebastian Aquino</t>
  </si>
  <si>
    <t>P20260611-0008</t>
  </si>
  <si>
    <t>9202606000031</t>
  </si>
  <si>
    <t>PENDING @ 2026-06-11 04:35:10 PM | APPROVED @ 2026-06-11 04:39:10 PM | ONGOING @ 2026-06-11 04:41:10 PM | FOR PICK-UP @ 2026-06-11 04:59:10 PM | DONE @ 2026-06-11 05:14:10 PM</t>
  </si>
  <si>
    <t>Jasper Lorenzo Cruzado</t>
  </si>
  <si>
    <t>P20260611-0009</t>
  </si>
  <si>
    <t>PENDING @ 2026-06-11 04:37:38 PM | ONGOING @ 2026-06-11 04:39:38 PM | DONE @ 2026-06-11 04:47:38 PM</t>
  </si>
  <si>
    <t>Francine Alexa Mendoza</t>
  </si>
  <si>
    <t>P20260611-0010</t>
  </si>
  <si>
    <t>PENDING @ 2026-06-11 04:38:48 PM | ONGOING @ 2026-06-11 04:40:48 PM | FOR PICK-UP @ 2026-06-11 04:48:48 PM | DONE @ 2026-06-11 05:01:48 PM</t>
  </si>
  <si>
    <t>Ivy Marjorie Paredes</t>
  </si>
  <si>
    <t>P20260611-0011</t>
  </si>
  <si>
    <t>9202606000034</t>
  </si>
  <si>
    <t>PENDING @ 2026-06-11 04:48:06 PM | APPROVED @ 2026-06-11 04:52:06 PM | ONGOING @ 2026-06-11 04:54:06 PM | FOR PICK-UP @ 2026-06-11 05:11:06 PM | DONE @ 2026-06-11 05:17:06 PM</t>
  </si>
  <si>
    <t>Kyla Bernadette Flores</t>
  </si>
  <si>
    <t>P20260611-0012</t>
  </si>
  <si>
    <t>PENDING @ 2026-06-11 04:50:06 PM | ONGOING @ 2026-06-11 04:52:06 PM | FOR PICK-UP @ 2026-06-11 04:58:06 PM | DONE @ 2026-06-11 05:09:06 PM</t>
  </si>
  <si>
    <t>Leandro Marcus Santiago</t>
  </si>
  <si>
    <t>P20260611-0013</t>
  </si>
  <si>
    <t>9202606000036</t>
  </si>
  <si>
    <t>PENDING @ 2026-06-11 04:50:06 PM | APPROVED @ 2026-06-11 04:54:06 PM | ONGOING @ 2026-06-11 04:55:06 PM | FOR PICK-UP @ 2026-06-11 05:09:06 PM | DONE @ 2026-06-11 05:13:06 PM</t>
  </si>
  <si>
    <t>Mara Isabelle Angeles</t>
  </si>
  <si>
    <t>P20260612-0001</t>
  </si>
  <si>
    <t>PENDING @ 2026-06-12 03:15:37 PM | ONGOING @ 2026-06-12 03:17:37 PM | DONE @ 2026-06-12 03:23:37 PM</t>
  </si>
  <si>
    <t>Noah Vincent Domingo</t>
  </si>
  <si>
    <t>P20260612-0002</t>
  </si>
  <si>
    <t>PENDING @ 2026-06-12 03:26:02 PM | ONGOING @ 2026-06-12 03:28:02 PM | FOR PICK-UP @ 2026-06-12 03:36:02 PM | DONE @ 2026-06-12 03:50:02 PM</t>
  </si>
  <si>
    <t>Patricia Anika Estrella</t>
  </si>
  <si>
    <t>P20260612-0003</t>
  </si>
  <si>
    <t>9202606000039</t>
  </si>
  <si>
    <t>PENDING @ 2026-06-12 03:40:31 PM | APPROVED @ 2026-06-12 03:43:31 PM | ONGOING @ 2026-06-12 03:44:31 PM | FOR PICK-UP @ 2026-06-12 03:59:31 PM | DONE @ 2026-06-12 04:06:31 PM</t>
  </si>
  <si>
    <t>Renz Christian Mallari</t>
  </si>
  <si>
    <t>P20260612-0004</t>
  </si>
  <si>
    <t>9202606000040</t>
  </si>
  <si>
    <t>PENDING @ 2026-06-12 04:22:29 PM | APPROVED @ 2026-06-12 04:25:29 PM | ONGOING @ 2026-06-12 04:27:29 PM | FOR PICK-UP @ 2026-06-12 04:45:29 PM | DONE @ 2026-06-12 04:57:29 PM</t>
  </si>
  <si>
    <t>Shaira Camille Del Rosario</t>
  </si>
  <si>
    <t>R20260612-0001</t>
  </si>
  <si>
    <t>PENDING @ 2026-06-12 04:45:40 PM | ONGOING @ 2026-06-12 04:52:40 PM | DONE @ 2026-06-12 05:17:40 PM</t>
  </si>
  <si>
    <t>Tristan Caleb Mendoza</t>
  </si>
  <si>
    <t>P20260613-0001</t>
  </si>
  <si>
    <t>PENDING @ 2026-06-13 03:15:57 PM | ONGOING @ 2026-06-13 03:17:57 PM | FOR PICK-UP @ 2026-06-13 03:21:57 PM | DONE @ 2026-06-13 03:31:57 PM</t>
  </si>
  <si>
    <t>Warren Elijah Cortez</t>
  </si>
  <si>
    <t>P20260613-0002</t>
  </si>
  <si>
    <t>PENDING @ 2026-06-13 03:20:18 PM | ONGOING @ 2026-06-13 03:22:18 PM | DONE @ 2026-06-13 03:28:18 PM</t>
  </si>
  <si>
    <t>Veronica Gail Magno</t>
  </si>
  <si>
    <t>P20260613-0003</t>
  </si>
  <si>
    <t>9202606000044</t>
  </si>
  <si>
    <t>PENDING @ 2026-06-13 03:27:51 PM | APPROVED @ 2026-06-13 03:30:51 PM | ONGOING @ 2026-06-13 03:33:51 PM | FOR PICK-UP @ 2026-06-13 03:41:51 PM | DONE @ 2026-06-13 03:49:51 PM</t>
  </si>
  <si>
    <t>Yasmine Andrea Macaraig</t>
  </si>
  <si>
    <t>P20260613-0004</t>
  </si>
  <si>
    <t>PENDING @ 2026-06-13 03:40:39 PM | ONGOING @ 2026-06-13 03:42:39 PM | FOR PICK-UP @ 2026-06-13 03:54:39 PM | DONE @ 2026-06-13 04:07:39 PM</t>
  </si>
  <si>
    <t>Cedric Jovan Bautista</t>
  </si>
  <si>
    <t>P20260613-0005</t>
  </si>
  <si>
    <t>9202606000046</t>
  </si>
  <si>
    <t>PENDING @ 2026-06-13 03:51:17 PM | APPROVED @ 2026-06-13 03:54:17 PM | ONGOING @ 2026-06-13 03:56:17 PM | FOR PICK-UP @ 2026-06-13 04:10:17 PM | DONE @ 2026-06-13 04:16:17 PM</t>
  </si>
  <si>
    <t>Danica Faye Robles</t>
  </si>
  <si>
    <t>P20260613-0006</t>
  </si>
  <si>
    <t>9202606000047</t>
  </si>
  <si>
    <t>PENDING @ 2026-06-13 04:10:50 PM | APPROVED @ 2026-06-13 04:13:50 PM | ONGOING @ 2026-06-13 04:16:50 PM | FOR PICK-UP @ 2026-06-13 04:25:50 PM | DONE @ 2026-06-13 04:36:50 PM</t>
  </si>
  <si>
    <t>Erika Lorraine Manrique</t>
  </si>
  <si>
    <t>P20260613-0007</t>
  </si>
  <si>
    <t>PENDING @ 2026-06-13 04:37:02 PM | ONGOING @ 2026-06-13 04:39:02 PM | FOR PICK-UP @ 2026-06-13 04:50:02 PM | DONE @ 2026-06-13 04:54:02 PM</t>
  </si>
  <si>
    <t>Felix Andre Villafuerte</t>
  </si>
  <si>
    <t>P20260613-0008</t>
  </si>
  <si>
    <t>PENDING @ 2026-06-13 04:43:46 PM | ONGOING @ 2026-06-13 04:48:46 PM | DONE @ 2026-06-13 05:19:46 PM</t>
  </si>
  <si>
    <t>Uma Patricia Lim</t>
  </si>
  <si>
    <t>P20260613-0009</t>
  </si>
  <si>
    <t>9202606000050</t>
  </si>
  <si>
    <t>PENDING @ 2026-06-13 04:55:00 PM | APPROVED @ 2026-06-13 04:58:00 PM | ONGOING @ 2026-06-13 05:01:00 PM | FOR PICK-UP @ 2026-06-13 05:16:00 PM | DONE @ 2026-06-13 05:30:00 PM</t>
  </si>
  <si>
    <t>Transition No.</t>
  </si>
  <si>
    <t>Status</t>
  </si>
  <si>
    <t>Entered At</t>
  </si>
  <si>
    <t>Exited At</t>
  </si>
  <si>
    <t>Duration Min</t>
  </si>
  <si>
    <t>Next Status</t>
  </si>
  <si>
    <t>Remarks</t>
  </si>
  <si>
    <t>PENDING</t>
  </si>
  <si>
    <t>APPROVED</t>
  </si>
  <si>
    <t>Request joined the queue.</t>
  </si>
  <si>
    <t>ONGOING</t>
  </si>
  <si>
    <t>GCash payment/reference approved before processing.</t>
  </si>
  <si>
    <t>Service request was being processed.</t>
  </si>
  <si>
    <t>Request was ready and later marked done after pickup.</t>
  </si>
  <si>
    <t>Final status; order completed.</t>
  </si>
  <si>
    <t>ServiTech Analytics-Ready Summary</t>
  </si>
  <si>
    <t>Metric</t>
  </si>
  <si>
    <t>Formula / Result</t>
  </si>
  <si>
    <t>Average queue waiting time (minutes)</t>
  </si>
  <si>
    <t>Average service processing time (minutes)</t>
  </si>
  <si>
    <t>Longest waiting request - Queue ID</t>
  </si>
  <si>
    <t>Longest waiting request - Customer</t>
  </si>
  <si>
    <t>Longest waiting request - Minutes</t>
  </si>
  <si>
    <t>Completion rate</t>
  </si>
  <si>
    <t>Total after-implementation transactions</t>
  </si>
  <si>
    <t>Total status transition events</t>
  </si>
  <si>
    <t>Final Queue Status Distribution</t>
  </si>
  <si>
    <t>Count</t>
  </si>
  <si>
    <t>CANCELLED</t>
  </si>
  <si>
    <t>Average Time Spent in Each Status</t>
  </si>
  <si>
    <t>Average Minutes</t>
  </si>
  <si>
    <t>Status Transition Event Distribution</t>
  </si>
  <si>
    <t>Event Count</t>
  </si>
  <si>
    <t>Sheet</t>
  </si>
  <si>
    <t>Column / Metric</t>
  </si>
  <si>
    <t>Definition</t>
  </si>
  <si>
    <t>Table8_Before_Raw</t>
  </si>
  <si>
    <t>Manual initial handling duration observed before ServiTech implementation.</t>
  </si>
  <si>
    <t>Table9_After_Orders</t>
  </si>
  <si>
    <t>Time from joining the queue to being approved for GCash or started for Cash.</t>
  </si>
  <si>
    <t>Same analytics definition: Request Created At to Approved At for GCash, or Request Created At to Ongoing At for Cash.</t>
  </si>
  <si>
    <t>Time from Ongoing At to Done At.</t>
  </si>
  <si>
    <t>Time spent in PENDING status.</t>
  </si>
  <si>
    <t>Time spent in APPROVED status; applies only to GCash orders.</t>
  </si>
  <si>
    <t>Time spent in ONGOING status until FOR PICK-UP or DONE.</t>
  </si>
  <si>
    <t>Time spent in FOR PICK-UP status before DONE.</t>
  </si>
  <si>
    <t>Table9_Status_Events</t>
  </si>
  <si>
    <t>Time spent in each status transition event.</t>
  </si>
  <si>
    <t>Analytics_Summary</t>
  </si>
  <si>
    <t>Completion Rate</t>
  </si>
  <si>
    <t>Completed orders divided by all after-implementation orders.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</si>
</sst>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\ AM/PM"/>
  </numFmts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111827"/>
      <name val="Carlito"/>
    </font>
  </fonts>
  <fills count="6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F97316"/>
      </patternFill>
    </fill>
    <fill>
      <patternFill patternType="solid">
        <fgColor rgb="FFFEF3C7"/>
      </patternFill>
    </fill>
    <fill>
      <patternFill patternType="solid">
        <fgColor rgb="FFFACC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 wrapText="1"/>
    </xf>
    <xf numFmtId="10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2" fontId="4" fillId="5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Analytics_Summary!$A$14:$A$19</c:f>
              <c:strCache>
                <c:ptCount val="6"/>
                <c:pt idx="0">
                  <c:v>PENDING</c:v>
                </c:pt>
                <c:pt idx="1">
                  <c:v>APPROVED</c:v>
                </c:pt>
                <c:pt idx="2">
                  <c:v>ONGOING</c:v>
                </c:pt>
                <c:pt idx="3">
                  <c:v>FOR PICK-UP</c:v>
                </c:pt>
                <c:pt idx="4">
                  <c:v>DONE</c:v>
                </c:pt>
                <c:pt idx="5">
                  <c:v>CANCELLED</c:v>
                </c:pt>
              </c:strCache>
            </c:strRef>
          </c:cat>
          <c:val>
            <c:numRef>
              <c:f>Analytics_Summary!$B$14:$B$19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4-43F0-BEAC-AA422E209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Average Minutes</c:v>
          </c:tx>
          <c:invertIfNegative val="1"/>
          <c:cat>
            <c:strRef>
              <c:f>Analytics_Summary!$A$23:$A$28</c:f>
              <c:strCache>
                <c:ptCount val="6"/>
                <c:pt idx="0">
                  <c:v>PENDING</c:v>
                </c:pt>
                <c:pt idx="1">
                  <c:v>APPROVED</c:v>
                </c:pt>
                <c:pt idx="2">
                  <c:v>ONGOING</c:v>
                </c:pt>
                <c:pt idx="3">
                  <c:v>FOR PICK-UP</c:v>
                </c:pt>
                <c:pt idx="4">
                  <c:v>DONE</c:v>
                </c:pt>
                <c:pt idx="5">
                  <c:v>CANCELLED</c:v>
                </c:pt>
              </c:strCache>
            </c:strRef>
          </c:cat>
          <c:val>
            <c:numRef>
              <c:f>Analytics_Summary!$B$23:$B$28</c:f>
              <c:numCache>
                <c:formatCode>0.00</c:formatCode>
                <c:ptCount val="6"/>
                <c:pt idx="0">
                  <c:v>2.92</c:v>
                </c:pt>
                <c:pt idx="1">
                  <c:v>1.8695652173913044</c:v>
                </c:pt>
                <c:pt idx="2">
                  <c:v>12.06</c:v>
                </c:pt>
                <c:pt idx="3">
                  <c:v>9.6829268292682933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E-40C1-96ED-3B94AC902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18</xdr:row>
      <xdr:rowOff>0</xdr:rowOff>
    </xdr:from>
    <xdr:to>
      <xdr:col>10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9AfterOrders" displayName="Table9AfterOrders" ref="A1:Z51">
  <tableColumns count="26">
    <tableColumn id="1" xr3:uid="{00000000-0010-0000-0100-000001000000}" name="Transaction No."/>
    <tableColumn id="2" xr3:uid="{00000000-0010-0000-0100-000002000000}" name="Customer Name"/>
    <tableColumn id="3" xr3:uid="{00000000-0010-0000-0100-000003000000}" name="Queue ID"/>
    <tableColumn id="4" xr3:uid="{00000000-0010-0000-0100-000004000000}" name="Type of Request"/>
    <tableColumn id="5" xr3:uid="{00000000-0010-0000-0100-000005000000}" name="Payment Method"/>
    <tableColumn id="6" xr3:uid="{00000000-0010-0000-0100-000006000000}" name="GCash Reference No."/>
    <tableColumn id="7" xr3:uid="{00000000-0010-0000-0100-000007000000}" name="Completion Route"/>
    <tableColumn id="8" xr3:uid="{00000000-0010-0000-0100-000008000000}" name="Request Created At"/>
    <tableColumn id="9" xr3:uid="{00000000-0010-0000-0100-000009000000}" name="Pending At"/>
    <tableColumn id="10" xr3:uid="{00000000-0010-0000-0100-00000A000000}" name="Approved At"/>
    <tableColumn id="11" xr3:uid="{00000000-0010-0000-0100-00000B000000}" name="Ongoing At"/>
    <tableColumn id="12" xr3:uid="{00000000-0010-0000-0100-00000C000000}" name="For Pick-up At"/>
    <tableColumn id="13" xr3:uid="{00000000-0010-0000-0100-00000D000000}" name="Done At"/>
    <tableColumn id="14" xr3:uid="{00000000-0010-0000-0100-00000E000000}" name="Final Status"/>
    <tableColumn id="15" xr3:uid="{00000000-0010-0000-0100-00000F000000}" name="Current Status"/>
    <tableColumn id="16" xr3:uid="{00000000-0010-0000-0100-000010000000}" name="Workflow Handling Time (min)"/>
    <tableColumn id="17" xr3:uid="{00000000-0010-0000-0100-000011000000}" name="Queue Waiting Time (min)"/>
    <tableColumn id="18" xr3:uid="{00000000-0010-0000-0100-000012000000}" name="Service Processing Time (min)"/>
    <tableColumn id="19" xr3:uid="{00000000-0010-0000-0100-000013000000}" name="Pending Status Min"/>
    <tableColumn id="20" xr3:uid="{00000000-0010-0000-0100-000014000000}" name="Approved Status Min"/>
    <tableColumn id="21" xr3:uid="{00000000-0010-0000-0100-000015000000}" name="Ongoing Status Min"/>
    <tableColumn id="22" xr3:uid="{00000000-0010-0000-0100-000016000000}" name="For Pick-up Status Min"/>
    <tableColumn id="23" xr3:uid="{00000000-0010-0000-0100-000017000000}" name="Completion Flag"/>
    <tableColumn id="24" xr3:uid="{00000000-0010-0000-0100-000018000000}" name="System Status Flow"/>
    <tableColumn id="25" xr3:uid="{00000000-0010-0000-0100-000019000000}" name="Status Transition History"/>
    <tableColumn id="26" xr3:uid="{00000000-0010-0000-0100-00001A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9StatusEvents" displayName="Table9StatusEvents" ref="A1:L215">
  <tableColumns count="12">
    <tableColumn id="1" xr3:uid="{00000000-0010-0000-0200-000001000000}" name="Transaction No."/>
    <tableColumn id="2" xr3:uid="{00000000-0010-0000-0200-000002000000}" name="Queue ID"/>
    <tableColumn id="3" xr3:uid="{00000000-0010-0000-0200-000003000000}" name="Customer Name"/>
    <tableColumn id="4" xr3:uid="{00000000-0010-0000-0200-000004000000}" name="Type of Request"/>
    <tableColumn id="5" xr3:uid="{00000000-0010-0000-0200-000005000000}" name="Payment Method"/>
    <tableColumn id="6" xr3:uid="{00000000-0010-0000-0200-000006000000}" name="Transition No."/>
    <tableColumn id="7" xr3:uid="{00000000-0010-0000-0200-000007000000}" name="Status"/>
    <tableColumn id="8" xr3:uid="{00000000-0010-0000-0200-000008000000}" name="Entered At"/>
    <tableColumn id="9" xr3:uid="{00000000-0010-0000-0200-000009000000}" name="Exited At"/>
    <tableColumn id="10" xr3:uid="{00000000-0010-0000-0200-00000A000000}" name="Duration Min"/>
    <tableColumn id="11" xr3:uid="{00000000-0010-0000-0200-00000B000000}" name="Next Status"/>
    <tableColumn id="13" xr3:uid="{00000000-0010-0000-0200-00000D000000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2" sqref="A2"/>
    </sheetView>
  </sheetViews>
  <sheetFormatPr defaultRowHeight="14.25"/>
  <cols>
    <col min="1" max="1" width="26" customWidth="1"/>
    <col min="2" max="2" width="95" customWidth="1"/>
  </cols>
  <sheetData>
    <row r="1" spans="1:2" ht="18">
      <c r="A1" s="11" t="s">
        <v>0</v>
      </c>
      <c r="B1" s="11"/>
    </row>
    <row r="2" spans="1:2" ht="15">
      <c r="A2" s="6" t="s">
        <v>1</v>
      </c>
      <c r="B2" s="2" t="s">
        <v>2</v>
      </c>
    </row>
    <row r="3" spans="1:2" ht="28.5">
      <c r="A3" s="6" t="s">
        <v>3</v>
      </c>
      <c r="B3" s="2" t="s">
        <v>4</v>
      </c>
    </row>
    <row r="4" spans="1:2" ht="15">
      <c r="A4" s="6" t="s">
        <v>5</v>
      </c>
      <c r="B4" s="2" t="s">
        <v>6</v>
      </c>
    </row>
    <row r="5" spans="1:2" ht="15">
      <c r="A5" s="6" t="s">
        <v>7</v>
      </c>
      <c r="B5" s="2" t="s">
        <v>8</v>
      </c>
    </row>
    <row r="6" spans="1:2" ht="28.5">
      <c r="A6" s="6" t="s">
        <v>9</v>
      </c>
      <c r="B6" s="2" t="s">
        <v>10</v>
      </c>
    </row>
    <row r="7" spans="1:2" ht="15">
      <c r="A7" s="6" t="s">
        <v>11</v>
      </c>
      <c r="B7" s="2" t="s">
        <v>12</v>
      </c>
    </row>
    <row r="8" spans="1:2" ht="28.5">
      <c r="A8" s="6" t="s">
        <v>13</v>
      </c>
      <c r="B8" s="2" t="s">
        <v>14</v>
      </c>
    </row>
    <row r="9" spans="1:2" ht="15">
      <c r="A9" s="6" t="s">
        <v>15</v>
      </c>
      <c r="B9" s="2" t="s">
        <v>16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1"/>
  <sheetViews>
    <sheetView topLeftCell="W15" workbookViewId="0">
      <selection activeCell="D7" sqref="D7"/>
    </sheetView>
  </sheetViews>
  <sheetFormatPr defaultRowHeight="14.25"/>
  <cols>
    <col min="1" max="1" width="14" customWidth="1"/>
    <col min="2" max="2" width="26" customWidth="1"/>
    <col min="3" max="3" width="18" customWidth="1"/>
    <col min="4" max="4" width="26" customWidth="1"/>
    <col min="5" max="5" width="16" customWidth="1"/>
    <col min="6" max="6" width="20" customWidth="1"/>
    <col min="7" max="7" width="18" customWidth="1"/>
    <col min="8" max="13" width="24" customWidth="1"/>
    <col min="14" max="15" width="14" customWidth="1"/>
    <col min="16" max="17" width="20" customWidth="1"/>
    <col min="18" max="18" width="22" customWidth="1"/>
    <col min="19" max="22" width="18" customWidth="1"/>
    <col min="23" max="23" width="16" customWidth="1"/>
    <col min="24" max="24" width="38" customWidth="1"/>
    <col min="25" max="25" width="68" customWidth="1"/>
    <col min="26" max="26" width="42" customWidth="1"/>
  </cols>
  <sheetData>
    <row r="1" spans="1:26" ht="33.950000000000003" customHeight="1">
      <c r="A1" s="3" t="s">
        <v>17</v>
      </c>
      <c r="B1" s="3" t="s">
        <v>27</v>
      </c>
      <c r="C1" s="3" t="s">
        <v>28</v>
      </c>
      <c r="D1" s="3" t="s">
        <v>18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19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20</v>
      </c>
    </row>
    <row r="2" spans="1:26" ht="42.75">
      <c r="A2" s="4">
        <v>1</v>
      </c>
      <c r="B2" s="4" t="s">
        <v>49</v>
      </c>
      <c r="C2" s="4" t="s">
        <v>50</v>
      </c>
      <c r="D2" s="4" t="s">
        <v>21</v>
      </c>
      <c r="E2" s="4" t="s">
        <v>51</v>
      </c>
      <c r="F2" s="4" t="s">
        <v>52</v>
      </c>
      <c r="G2" s="4" t="s">
        <v>53</v>
      </c>
      <c r="H2" s="5">
        <v>46181.650347222225</v>
      </c>
      <c r="I2" s="5">
        <v>46181.650347222225</v>
      </c>
      <c r="J2" s="5">
        <v>46181.652430555558</v>
      </c>
      <c r="K2" s="5">
        <v>46181.653819444444</v>
      </c>
      <c r="L2" s="5">
        <v>46181.661458333336</v>
      </c>
      <c r="M2" s="5">
        <v>46181.667708333334</v>
      </c>
      <c r="N2" s="4" t="s">
        <v>54</v>
      </c>
      <c r="O2" s="4" t="s">
        <v>54</v>
      </c>
      <c r="P2" s="4">
        <v>3</v>
      </c>
      <c r="Q2" s="4">
        <v>3</v>
      </c>
      <c r="R2" s="4">
        <v>20</v>
      </c>
      <c r="S2" s="4">
        <v>3</v>
      </c>
      <c r="T2" s="4">
        <v>2</v>
      </c>
      <c r="U2" s="4">
        <v>11</v>
      </c>
      <c r="V2" s="4">
        <v>9</v>
      </c>
      <c r="W2" s="4">
        <v>1</v>
      </c>
      <c r="X2" s="4" t="s">
        <v>55</v>
      </c>
      <c r="Y2" s="4" t="s">
        <v>56</v>
      </c>
      <c r="Z2" s="4" t="s">
        <v>57</v>
      </c>
    </row>
    <row r="3" spans="1:26" ht="42.75">
      <c r="A3" s="4">
        <v>2</v>
      </c>
      <c r="B3" s="4" t="s">
        <v>58</v>
      </c>
      <c r="C3" s="4" t="s">
        <v>59</v>
      </c>
      <c r="D3" s="4" t="s">
        <v>21</v>
      </c>
      <c r="E3" s="4" t="s">
        <v>51</v>
      </c>
      <c r="F3" s="4" t="s">
        <v>60</v>
      </c>
      <c r="G3" s="4" t="s">
        <v>53</v>
      </c>
      <c r="H3" s="5">
        <v>46181.663541666669</v>
      </c>
      <c r="I3" s="5">
        <v>46181.663541666669</v>
      </c>
      <c r="J3" s="5">
        <v>46181.665625000001</v>
      </c>
      <c r="K3" s="5">
        <v>46181.667708333334</v>
      </c>
      <c r="L3" s="5">
        <v>46181.677430555559</v>
      </c>
      <c r="M3" s="5">
        <v>46181.687152777777</v>
      </c>
      <c r="N3" s="4" t="s">
        <v>54</v>
      </c>
      <c r="O3" s="4" t="s">
        <v>54</v>
      </c>
      <c r="P3" s="4">
        <v>3</v>
      </c>
      <c r="Q3" s="4">
        <v>3</v>
      </c>
      <c r="R3" s="4">
        <v>28</v>
      </c>
      <c r="S3" s="4">
        <v>3</v>
      </c>
      <c r="T3" s="4">
        <v>3</v>
      </c>
      <c r="U3" s="4">
        <v>14</v>
      </c>
      <c r="V3" s="4">
        <v>14</v>
      </c>
      <c r="W3" s="4">
        <v>1</v>
      </c>
      <c r="X3" s="4" t="s">
        <v>55</v>
      </c>
      <c r="Y3" s="4" t="s">
        <v>61</v>
      </c>
      <c r="Z3" s="4" t="s">
        <v>57</v>
      </c>
    </row>
    <row r="4" spans="1:26" ht="28.5">
      <c r="A4" s="4">
        <v>3</v>
      </c>
      <c r="B4" s="4" t="s">
        <v>62</v>
      </c>
      <c r="C4" s="4" t="s">
        <v>63</v>
      </c>
      <c r="D4" s="4" t="s">
        <v>21</v>
      </c>
      <c r="E4" s="4" t="s">
        <v>64</v>
      </c>
      <c r="F4" s="4"/>
      <c r="G4" s="4" t="s">
        <v>53</v>
      </c>
      <c r="H4" s="5">
        <v>46181.690428240741</v>
      </c>
      <c r="I4" s="5">
        <v>46181.690428240741</v>
      </c>
      <c r="J4" s="5"/>
      <c r="K4" s="5">
        <v>46181.691817129627</v>
      </c>
      <c r="L4" s="5">
        <v>46181.703622685185</v>
      </c>
      <c r="M4" s="5">
        <v>46181.708483796298</v>
      </c>
      <c r="N4" s="4" t="s">
        <v>54</v>
      </c>
      <c r="O4" s="4" t="s">
        <v>54</v>
      </c>
      <c r="P4" s="4">
        <v>2</v>
      </c>
      <c r="Q4" s="4">
        <v>2</v>
      </c>
      <c r="R4" s="4">
        <v>24</v>
      </c>
      <c r="S4" s="4">
        <v>2</v>
      </c>
      <c r="T4" s="4">
        <v>0</v>
      </c>
      <c r="U4" s="4">
        <v>17</v>
      </c>
      <c r="V4" s="4">
        <v>7</v>
      </c>
      <c r="W4" s="4">
        <v>1</v>
      </c>
      <c r="X4" s="4" t="s">
        <v>65</v>
      </c>
      <c r="Y4" s="4" t="s">
        <v>66</v>
      </c>
      <c r="Z4" s="4" t="s">
        <v>57</v>
      </c>
    </row>
    <row r="5" spans="1:26" ht="42.75">
      <c r="A5" s="4">
        <v>4</v>
      </c>
      <c r="B5" s="4" t="s">
        <v>67</v>
      </c>
      <c r="C5" s="4" t="s">
        <v>68</v>
      </c>
      <c r="D5" s="4" t="s">
        <v>21</v>
      </c>
      <c r="E5" s="4" t="s">
        <v>51</v>
      </c>
      <c r="F5" s="4" t="s">
        <v>69</v>
      </c>
      <c r="G5" s="4" t="s">
        <v>53</v>
      </c>
      <c r="H5" s="5">
        <v>46181.694895833331</v>
      </c>
      <c r="I5" s="5">
        <v>46181.694895833331</v>
      </c>
      <c r="J5" s="5">
        <v>46181.696979166663</v>
      </c>
      <c r="K5" s="5">
        <v>46181.698368055557</v>
      </c>
      <c r="L5" s="5">
        <v>46181.704618055555</v>
      </c>
      <c r="M5" s="5">
        <v>46181.712951388887</v>
      </c>
      <c r="N5" s="4" t="s">
        <v>54</v>
      </c>
      <c r="O5" s="4" t="s">
        <v>54</v>
      </c>
      <c r="P5" s="4">
        <v>3</v>
      </c>
      <c r="Q5" s="4">
        <v>3</v>
      </c>
      <c r="R5" s="4">
        <v>21</v>
      </c>
      <c r="S5" s="4">
        <v>3</v>
      </c>
      <c r="T5" s="4">
        <v>2</v>
      </c>
      <c r="U5" s="4">
        <v>9</v>
      </c>
      <c r="V5" s="4">
        <v>12</v>
      </c>
      <c r="W5" s="4">
        <v>1</v>
      </c>
      <c r="X5" s="4" t="s">
        <v>55</v>
      </c>
      <c r="Y5" s="4" t="s">
        <v>70</v>
      </c>
      <c r="Z5" s="4" t="s">
        <v>57</v>
      </c>
    </row>
    <row r="6" spans="1:26" ht="28.5">
      <c r="A6" s="4">
        <v>5</v>
      </c>
      <c r="B6" s="4" t="s">
        <v>71</v>
      </c>
      <c r="C6" s="4" t="s">
        <v>72</v>
      </c>
      <c r="D6" s="4" t="s">
        <v>22</v>
      </c>
      <c r="E6" s="4" t="s">
        <v>64</v>
      </c>
      <c r="F6" s="4"/>
      <c r="G6" s="4" t="s">
        <v>53</v>
      </c>
      <c r="H6" s="5">
        <v>46181.695011574076</v>
      </c>
      <c r="I6" s="5">
        <v>46181.695011574076</v>
      </c>
      <c r="J6" s="5"/>
      <c r="K6" s="5">
        <v>46181.696400462963</v>
      </c>
      <c r="L6" s="5">
        <v>46181.702650462961</v>
      </c>
      <c r="M6" s="5">
        <v>46181.706122685187</v>
      </c>
      <c r="N6" s="4" t="s">
        <v>54</v>
      </c>
      <c r="O6" s="4" t="s">
        <v>54</v>
      </c>
      <c r="P6" s="4">
        <v>2</v>
      </c>
      <c r="Q6" s="4">
        <v>2</v>
      </c>
      <c r="R6" s="4">
        <v>14</v>
      </c>
      <c r="S6" s="4">
        <v>2</v>
      </c>
      <c r="T6" s="4">
        <v>0</v>
      </c>
      <c r="U6" s="4">
        <v>9</v>
      </c>
      <c r="V6" s="4">
        <v>5</v>
      </c>
      <c r="W6" s="4">
        <v>1</v>
      </c>
      <c r="X6" s="4" t="s">
        <v>65</v>
      </c>
      <c r="Y6" s="4" t="s">
        <v>73</v>
      </c>
      <c r="Z6" s="4" t="s">
        <v>57</v>
      </c>
    </row>
    <row r="7" spans="1:26" ht="42.75">
      <c r="A7" s="4">
        <v>6</v>
      </c>
      <c r="B7" s="4" t="s">
        <v>74</v>
      </c>
      <c r="C7" s="4" t="s">
        <v>75</v>
      </c>
      <c r="D7" s="4" t="s">
        <v>23</v>
      </c>
      <c r="E7" s="4" t="s">
        <v>51</v>
      </c>
      <c r="F7" s="4" t="s">
        <v>76</v>
      </c>
      <c r="G7" s="4" t="s">
        <v>53</v>
      </c>
      <c r="H7" s="5">
        <v>46181.701261574075</v>
      </c>
      <c r="I7" s="5">
        <v>46181.701261574075</v>
      </c>
      <c r="J7" s="5">
        <v>46181.704039351855</v>
      </c>
      <c r="K7" s="5">
        <v>46181.704733796294</v>
      </c>
      <c r="L7" s="5">
        <v>46181.716539351852</v>
      </c>
      <c r="M7" s="5">
        <v>46181.723483796297</v>
      </c>
      <c r="N7" s="4" t="s">
        <v>54</v>
      </c>
      <c r="O7" s="4" t="s">
        <v>54</v>
      </c>
      <c r="P7" s="4">
        <v>4</v>
      </c>
      <c r="Q7" s="4">
        <v>4</v>
      </c>
      <c r="R7" s="4">
        <v>27</v>
      </c>
      <c r="S7" s="4">
        <v>4</v>
      </c>
      <c r="T7" s="4">
        <v>1</v>
      </c>
      <c r="U7" s="4">
        <v>17</v>
      </c>
      <c r="V7" s="4">
        <v>10</v>
      </c>
      <c r="W7" s="4">
        <v>1</v>
      </c>
      <c r="X7" s="4" t="s">
        <v>55</v>
      </c>
      <c r="Y7" s="4" t="s">
        <v>77</v>
      </c>
      <c r="Z7" s="4" t="s">
        <v>57</v>
      </c>
    </row>
    <row r="8" spans="1:26" ht="28.5">
      <c r="A8" s="4">
        <v>7</v>
      </c>
      <c r="B8" s="4" t="s">
        <v>78</v>
      </c>
      <c r="C8" s="4" t="s">
        <v>79</v>
      </c>
      <c r="D8" s="4" t="s">
        <v>22</v>
      </c>
      <c r="E8" s="4" t="s">
        <v>64</v>
      </c>
      <c r="F8" s="4"/>
      <c r="G8" s="4" t="s">
        <v>53</v>
      </c>
      <c r="H8" s="5">
        <v>46182.641898148147</v>
      </c>
      <c r="I8" s="5">
        <v>46182.641898148147</v>
      </c>
      <c r="J8" s="5"/>
      <c r="K8" s="5">
        <v>46182.643287037034</v>
      </c>
      <c r="L8" s="5">
        <v>46182.647453703707</v>
      </c>
      <c r="M8" s="5">
        <v>46182.657870370371</v>
      </c>
      <c r="N8" s="4" t="s">
        <v>54</v>
      </c>
      <c r="O8" s="4" t="s">
        <v>54</v>
      </c>
      <c r="P8" s="4">
        <v>2</v>
      </c>
      <c r="Q8" s="4">
        <v>2</v>
      </c>
      <c r="R8" s="4">
        <v>21</v>
      </c>
      <c r="S8" s="4">
        <v>2</v>
      </c>
      <c r="T8" s="4">
        <v>0</v>
      </c>
      <c r="U8" s="4">
        <v>6</v>
      </c>
      <c r="V8" s="4">
        <v>15</v>
      </c>
      <c r="W8" s="4">
        <v>1</v>
      </c>
      <c r="X8" s="4" t="s">
        <v>65</v>
      </c>
      <c r="Y8" s="4" t="s">
        <v>80</v>
      </c>
      <c r="Z8" s="4" t="s">
        <v>57</v>
      </c>
    </row>
    <row r="9" spans="1:26" ht="28.5">
      <c r="A9" s="4">
        <v>8</v>
      </c>
      <c r="B9" s="4" t="s">
        <v>81</v>
      </c>
      <c r="C9" s="4" t="s">
        <v>82</v>
      </c>
      <c r="D9" s="4" t="s">
        <v>24</v>
      </c>
      <c r="E9" s="4" t="s">
        <v>64</v>
      </c>
      <c r="F9" s="4"/>
      <c r="G9" s="4" t="s">
        <v>83</v>
      </c>
      <c r="H9" s="5">
        <v>46182.655335648145</v>
      </c>
      <c r="I9" s="5">
        <v>46182.655335648145</v>
      </c>
      <c r="J9" s="5"/>
      <c r="K9" s="5">
        <v>46182.660891203705</v>
      </c>
      <c r="L9" s="5"/>
      <c r="M9" s="5">
        <v>46182.676168981481</v>
      </c>
      <c r="N9" s="4" t="s">
        <v>54</v>
      </c>
      <c r="O9" s="4" t="s">
        <v>54</v>
      </c>
      <c r="P9" s="4">
        <v>8</v>
      </c>
      <c r="Q9" s="4">
        <v>8</v>
      </c>
      <c r="R9" s="4">
        <v>22</v>
      </c>
      <c r="S9" s="4">
        <v>8</v>
      </c>
      <c r="T9" s="4">
        <v>0</v>
      </c>
      <c r="U9" s="4">
        <v>22</v>
      </c>
      <c r="V9" s="4">
        <v>0</v>
      </c>
      <c r="W9" s="4">
        <v>1</v>
      </c>
      <c r="X9" s="4" t="s">
        <v>84</v>
      </c>
      <c r="Y9" s="4" t="s">
        <v>85</v>
      </c>
      <c r="Z9" s="4" t="s">
        <v>57</v>
      </c>
    </row>
    <row r="10" spans="1:26" ht="42.75">
      <c r="A10" s="4">
        <v>9</v>
      </c>
      <c r="B10" s="4" t="s">
        <v>86</v>
      </c>
      <c r="C10" s="4" t="s">
        <v>87</v>
      </c>
      <c r="D10" s="4" t="s">
        <v>23</v>
      </c>
      <c r="E10" s="4" t="s">
        <v>51</v>
      </c>
      <c r="F10" s="4" t="s">
        <v>88</v>
      </c>
      <c r="G10" s="4" t="s">
        <v>53</v>
      </c>
      <c r="H10" s="5">
        <v>46182.656180555554</v>
      </c>
      <c r="I10" s="5">
        <v>46182.656180555554</v>
      </c>
      <c r="J10" s="5">
        <v>46182.658958333333</v>
      </c>
      <c r="K10" s="5">
        <v>46182.65965277778</v>
      </c>
      <c r="L10" s="5">
        <v>46182.670763888891</v>
      </c>
      <c r="M10" s="5">
        <v>46182.679791666669</v>
      </c>
      <c r="N10" s="4" t="s">
        <v>54</v>
      </c>
      <c r="O10" s="4" t="s">
        <v>54</v>
      </c>
      <c r="P10" s="4">
        <v>4</v>
      </c>
      <c r="Q10" s="4">
        <v>4</v>
      </c>
      <c r="R10" s="4">
        <v>29</v>
      </c>
      <c r="S10" s="4">
        <v>4</v>
      </c>
      <c r="T10" s="4">
        <v>1</v>
      </c>
      <c r="U10" s="4">
        <v>16</v>
      </c>
      <c r="V10" s="4">
        <v>13</v>
      </c>
      <c r="W10" s="4">
        <v>1</v>
      </c>
      <c r="X10" s="4" t="s">
        <v>55</v>
      </c>
      <c r="Y10" s="4" t="s">
        <v>89</v>
      </c>
      <c r="Z10" s="4" t="s">
        <v>57</v>
      </c>
    </row>
    <row r="11" spans="1:26" ht="28.5">
      <c r="A11" s="4">
        <v>10</v>
      </c>
      <c r="B11" s="4" t="s">
        <v>90</v>
      </c>
      <c r="C11" s="4" t="s">
        <v>91</v>
      </c>
      <c r="D11" s="4" t="s">
        <v>22</v>
      </c>
      <c r="E11" s="4" t="s">
        <v>64</v>
      </c>
      <c r="F11" s="4"/>
      <c r="G11" s="4" t="s">
        <v>53</v>
      </c>
      <c r="H11" s="5">
        <v>46182.658090277779</v>
      </c>
      <c r="I11" s="5">
        <v>46182.658090277779</v>
      </c>
      <c r="J11" s="5"/>
      <c r="K11" s="5">
        <v>46182.659479166665</v>
      </c>
      <c r="L11" s="5">
        <v>46182.667812500003</v>
      </c>
      <c r="M11" s="5">
        <v>46182.671979166669</v>
      </c>
      <c r="N11" s="4" t="s">
        <v>54</v>
      </c>
      <c r="O11" s="4" t="s">
        <v>54</v>
      </c>
      <c r="P11" s="4">
        <v>2</v>
      </c>
      <c r="Q11" s="4">
        <v>2</v>
      </c>
      <c r="R11" s="4">
        <v>18</v>
      </c>
      <c r="S11" s="4">
        <v>2</v>
      </c>
      <c r="T11" s="4">
        <v>0</v>
      </c>
      <c r="U11" s="4">
        <v>12</v>
      </c>
      <c r="V11" s="4">
        <v>6</v>
      </c>
      <c r="W11" s="4">
        <v>1</v>
      </c>
      <c r="X11" s="4" t="s">
        <v>65</v>
      </c>
      <c r="Y11" s="4" t="s">
        <v>92</v>
      </c>
      <c r="Z11" s="4" t="s">
        <v>57</v>
      </c>
    </row>
    <row r="12" spans="1:26" ht="28.5">
      <c r="A12" s="4">
        <v>11</v>
      </c>
      <c r="B12" s="4" t="s">
        <v>93</v>
      </c>
      <c r="C12" s="4" t="s">
        <v>94</v>
      </c>
      <c r="D12" s="4" t="s">
        <v>22</v>
      </c>
      <c r="E12" s="4" t="s">
        <v>64</v>
      </c>
      <c r="F12" s="4"/>
      <c r="G12" s="4" t="s">
        <v>53</v>
      </c>
      <c r="H12" s="5">
        <v>46182.659942129627</v>
      </c>
      <c r="I12" s="5">
        <v>46182.659942129627</v>
      </c>
      <c r="J12" s="5"/>
      <c r="K12" s="5">
        <v>46182.66202546296</v>
      </c>
      <c r="L12" s="5">
        <v>46182.666886574072</v>
      </c>
      <c r="M12" s="5">
        <v>46182.674525462964</v>
      </c>
      <c r="N12" s="4" t="s">
        <v>54</v>
      </c>
      <c r="O12" s="4" t="s">
        <v>54</v>
      </c>
      <c r="P12" s="4">
        <v>3</v>
      </c>
      <c r="Q12" s="4">
        <v>3</v>
      </c>
      <c r="R12" s="4">
        <v>18</v>
      </c>
      <c r="S12" s="4">
        <v>3</v>
      </c>
      <c r="T12" s="4">
        <v>0</v>
      </c>
      <c r="U12" s="4">
        <v>7</v>
      </c>
      <c r="V12" s="4">
        <v>11</v>
      </c>
      <c r="W12" s="4">
        <v>1</v>
      </c>
      <c r="X12" s="4" t="s">
        <v>65</v>
      </c>
      <c r="Y12" s="4" t="s">
        <v>95</v>
      </c>
      <c r="Z12" s="4" t="s">
        <v>57</v>
      </c>
    </row>
    <row r="13" spans="1:26" ht="42.75">
      <c r="A13" s="4">
        <v>12</v>
      </c>
      <c r="B13" s="4" t="s">
        <v>96</v>
      </c>
      <c r="C13" s="4" t="s">
        <v>97</v>
      </c>
      <c r="D13" s="4" t="s">
        <v>21</v>
      </c>
      <c r="E13" s="4" t="s">
        <v>51</v>
      </c>
      <c r="F13" s="4" t="s">
        <v>98</v>
      </c>
      <c r="G13" s="4" t="s">
        <v>53</v>
      </c>
      <c r="H13" s="5">
        <v>46182.663865740738</v>
      </c>
      <c r="I13" s="5">
        <v>46182.663865740738</v>
      </c>
      <c r="J13" s="5">
        <v>46182.665949074071</v>
      </c>
      <c r="K13" s="5">
        <v>46182.666643518518</v>
      </c>
      <c r="L13" s="5">
        <v>46182.67428240741</v>
      </c>
      <c r="M13" s="5">
        <v>46182.677060185182</v>
      </c>
      <c r="N13" s="4" t="s">
        <v>54</v>
      </c>
      <c r="O13" s="4" t="s">
        <v>54</v>
      </c>
      <c r="P13" s="4">
        <v>3</v>
      </c>
      <c r="Q13" s="4">
        <v>3</v>
      </c>
      <c r="R13" s="4">
        <v>15</v>
      </c>
      <c r="S13" s="4">
        <v>3</v>
      </c>
      <c r="T13" s="4">
        <v>1</v>
      </c>
      <c r="U13" s="4">
        <v>11</v>
      </c>
      <c r="V13" s="4">
        <v>4</v>
      </c>
      <c r="W13" s="4">
        <v>1</v>
      </c>
      <c r="X13" s="4" t="s">
        <v>55</v>
      </c>
      <c r="Y13" s="4" t="s">
        <v>99</v>
      </c>
      <c r="Z13" s="4" t="s">
        <v>57</v>
      </c>
    </row>
    <row r="14" spans="1:26" ht="42.75">
      <c r="A14" s="4">
        <v>13</v>
      </c>
      <c r="B14" s="4" t="s">
        <v>100</v>
      </c>
      <c r="C14" s="4" t="s">
        <v>101</v>
      </c>
      <c r="D14" s="4" t="s">
        <v>21</v>
      </c>
      <c r="E14" s="4" t="s">
        <v>51</v>
      </c>
      <c r="F14" s="4" t="s">
        <v>102</v>
      </c>
      <c r="G14" s="4" t="s">
        <v>53</v>
      </c>
      <c r="H14" s="5">
        <v>46182.671643518515</v>
      </c>
      <c r="I14" s="5">
        <v>46182.671643518515</v>
      </c>
      <c r="J14" s="5">
        <v>46182.673726851855</v>
      </c>
      <c r="K14" s="5">
        <v>46182.675115740742</v>
      </c>
      <c r="L14" s="5">
        <v>46182.684837962966</v>
      </c>
      <c r="M14" s="5">
        <v>46182.691087962965</v>
      </c>
      <c r="N14" s="4" t="s">
        <v>54</v>
      </c>
      <c r="O14" s="4" t="s">
        <v>54</v>
      </c>
      <c r="P14" s="4">
        <v>3</v>
      </c>
      <c r="Q14" s="4">
        <v>3</v>
      </c>
      <c r="R14" s="4">
        <v>23</v>
      </c>
      <c r="S14" s="4">
        <v>3</v>
      </c>
      <c r="T14" s="4">
        <v>2</v>
      </c>
      <c r="U14" s="4">
        <v>14</v>
      </c>
      <c r="V14" s="4">
        <v>9</v>
      </c>
      <c r="W14" s="4">
        <v>1</v>
      </c>
      <c r="X14" s="4" t="s">
        <v>55</v>
      </c>
      <c r="Y14" s="4" t="s">
        <v>103</v>
      </c>
      <c r="Z14" s="4" t="s">
        <v>57</v>
      </c>
    </row>
    <row r="15" spans="1:26" ht="28.5">
      <c r="A15" s="4">
        <v>14</v>
      </c>
      <c r="B15" s="4" t="s">
        <v>104</v>
      </c>
      <c r="C15" s="4" t="s">
        <v>105</v>
      </c>
      <c r="D15" s="4" t="s">
        <v>25</v>
      </c>
      <c r="E15" s="4" t="s">
        <v>64</v>
      </c>
      <c r="F15" s="4"/>
      <c r="G15" s="4" t="s">
        <v>83</v>
      </c>
      <c r="H15" s="5">
        <v>46182.672986111109</v>
      </c>
      <c r="I15" s="5">
        <v>46182.672986111109</v>
      </c>
      <c r="J15" s="5"/>
      <c r="K15" s="5">
        <v>46182.674375000002</v>
      </c>
      <c r="L15" s="5"/>
      <c r="M15" s="5">
        <v>46182.679930555554</v>
      </c>
      <c r="N15" s="4" t="s">
        <v>54</v>
      </c>
      <c r="O15" s="4" t="s">
        <v>54</v>
      </c>
      <c r="P15" s="4">
        <v>2</v>
      </c>
      <c r="Q15" s="4">
        <v>2</v>
      </c>
      <c r="R15" s="4">
        <v>8</v>
      </c>
      <c r="S15" s="4">
        <v>2</v>
      </c>
      <c r="T15" s="4">
        <v>0</v>
      </c>
      <c r="U15" s="4">
        <v>8</v>
      </c>
      <c r="V15" s="4">
        <v>0</v>
      </c>
      <c r="W15" s="4">
        <v>1</v>
      </c>
      <c r="X15" s="4" t="s">
        <v>84</v>
      </c>
      <c r="Y15" s="4" t="s">
        <v>106</v>
      </c>
      <c r="Z15" s="4" t="s">
        <v>57</v>
      </c>
    </row>
    <row r="16" spans="1:26" ht="28.5">
      <c r="A16" s="4">
        <v>15</v>
      </c>
      <c r="B16" s="4" t="s">
        <v>107</v>
      </c>
      <c r="C16" s="4" t="s">
        <v>108</v>
      </c>
      <c r="D16" s="4" t="s">
        <v>25</v>
      </c>
      <c r="E16" s="4" t="s">
        <v>64</v>
      </c>
      <c r="F16" s="4"/>
      <c r="G16" s="4" t="s">
        <v>53</v>
      </c>
      <c r="H16" s="5">
        <v>46182.686874999999</v>
      </c>
      <c r="I16" s="5">
        <v>46182.686874999999</v>
      </c>
      <c r="J16" s="5"/>
      <c r="K16" s="5">
        <v>46182.688263888886</v>
      </c>
      <c r="L16" s="5">
        <v>46182.691041666665</v>
      </c>
      <c r="M16" s="5">
        <v>46182.695902777778</v>
      </c>
      <c r="N16" s="4" t="s">
        <v>54</v>
      </c>
      <c r="O16" s="4" t="s">
        <v>54</v>
      </c>
      <c r="P16" s="4">
        <v>2</v>
      </c>
      <c r="Q16" s="4">
        <v>2</v>
      </c>
      <c r="R16" s="4">
        <v>11</v>
      </c>
      <c r="S16" s="4">
        <v>2</v>
      </c>
      <c r="T16" s="4">
        <v>0</v>
      </c>
      <c r="U16" s="4">
        <v>4</v>
      </c>
      <c r="V16" s="4">
        <v>7</v>
      </c>
      <c r="W16" s="4">
        <v>1</v>
      </c>
      <c r="X16" s="4" t="s">
        <v>65</v>
      </c>
      <c r="Y16" s="4" t="s">
        <v>109</v>
      </c>
      <c r="Z16" s="4" t="s">
        <v>57</v>
      </c>
    </row>
    <row r="17" spans="1:26" ht="28.5">
      <c r="A17" s="4">
        <v>16</v>
      </c>
      <c r="B17" s="4" t="s">
        <v>110</v>
      </c>
      <c r="C17" s="4" t="s">
        <v>111</v>
      </c>
      <c r="D17" s="4" t="s">
        <v>25</v>
      </c>
      <c r="E17" s="4" t="s">
        <v>64</v>
      </c>
      <c r="F17" s="4"/>
      <c r="G17" s="4" t="s">
        <v>53</v>
      </c>
      <c r="H17" s="5">
        <v>46182.692696759259</v>
      </c>
      <c r="I17" s="5">
        <v>46182.692696759259</v>
      </c>
      <c r="J17" s="5"/>
      <c r="K17" s="5">
        <v>46182.694085648145</v>
      </c>
      <c r="L17" s="5">
        <v>46182.698252314818</v>
      </c>
      <c r="M17" s="5">
        <v>46182.706585648149</v>
      </c>
      <c r="N17" s="4" t="s">
        <v>54</v>
      </c>
      <c r="O17" s="4" t="s">
        <v>54</v>
      </c>
      <c r="P17" s="4">
        <v>2</v>
      </c>
      <c r="Q17" s="4">
        <v>2</v>
      </c>
      <c r="R17" s="4">
        <v>18</v>
      </c>
      <c r="S17" s="4">
        <v>2</v>
      </c>
      <c r="T17" s="4">
        <v>0</v>
      </c>
      <c r="U17" s="4">
        <v>6</v>
      </c>
      <c r="V17" s="4">
        <v>12</v>
      </c>
      <c r="W17" s="4">
        <v>1</v>
      </c>
      <c r="X17" s="4" t="s">
        <v>65</v>
      </c>
      <c r="Y17" s="4" t="s">
        <v>112</v>
      </c>
      <c r="Z17" s="4" t="s">
        <v>57</v>
      </c>
    </row>
    <row r="18" spans="1:26" ht="28.5">
      <c r="A18" s="4">
        <v>17</v>
      </c>
      <c r="B18" s="4" t="s">
        <v>113</v>
      </c>
      <c r="C18" s="4" t="s">
        <v>114</v>
      </c>
      <c r="D18" s="4" t="s">
        <v>22</v>
      </c>
      <c r="E18" s="4" t="s">
        <v>64</v>
      </c>
      <c r="F18" s="4"/>
      <c r="G18" s="4" t="s">
        <v>53</v>
      </c>
      <c r="H18" s="5">
        <v>46182.694768518515</v>
      </c>
      <c r="I18" s="5">
        <v>46182.694768518515</v>
      </c>
      <c r="J18" s="5"/>
      <c r="K18" s="5">
        <v>46182.696851851855</v>
      </c>
      <c r="L18" s="5">
        <v>46182.705185185187</v>
      </c>
      <c r="M18" s="5">
        <v>46182.708657407406</v>
      </c>
      <c r="N18" s="4" t="s">
        <v>54</v>
      </c>
      <c r="O18" s="4" t="s">
        <v>54</v>
      </c>
      <c r="P18" s="4">
        <v>3</v>
      </c>
      <c r="Q18" s="4">
        <v>3</v>
      </c>
      <c r="R18" s="4">
        <v>17</v>
      </c>
      <c r="S18" s="4">
        <v>3</v>
      </c>
      <c r="T18" s="4">
        <v>0</v>
      </c>
      <c r="U18" s="4">
        <v>12</v>
      </c>
      <c r="V18" s="4">
        <v>5</v>
      </c>
      <c r="W18" s="4">
        <v>1</v>
      </c>
      <c r="X18" s="4" t="s">
        <v>65</v>
      </c>
      <c r="Y18" s="4" t="s">
        <v>115</v>
      </c>
      <c r="Z18" s="4" t="s">
        <v>57</v>
      </c>
    </row>
    <row r="19" spans="1:26" ht="42.75">
      <c r="A19" s="4">
        <v>18</v>
      </c>
      <c r="B19" s="4" t="s">
        <v>116</v>
      </c>
      <c r="C19" s="4" t="s">
        <v>117</v>
      </c>
      <c r="D19" s="4" t="s">
        <v>22</v>
      </c>
      <c r="E19" s="4" t="s">
        <v>51</v>
      </c>
      <c r="F19" s="4" t="s">
        <v>118</v>
      </c>
      <c r="G19" s="4" t="s">
        <v>53</v>
      </c>
      <c r="H19" s="5">
        <v>46183.633101851854</v>
      </c>
      <c r="I19" s="5">
        <v>46183.633101851854</v>
      </c>
      <c r="J19" s="5">
        <v>46183.635185185187</v>
      </c>
      <c r="K19" s="5">
        <v>46183.635879629626</v>
      </c>
      <c r="L19" s="5">
        <v>46183.640740740739</v>
      </c>
      <c r="M19" s="5">
        <v>46183.647685185184</v>
      </c>
      <c r="N19" s="4" t="s">
        <v>54</v>
      </c>
      <c r="O19" s="4" t="s">
        <v>54</v>
      </c>
      <c r="P19" s="4">
        <v>3</v>
      </c>
      <c r="Q19" s="4">
        <v>3</v>
      </c>
      <c r="R19" s="4">
        <v>17</v>
      </c>
      <c r="S19" s="4">
        <v>3</v>
      </c>
      <c r="T19" s="4">
        <v>1</v>
      </c>
      <c r="U19" s="4">
        <v>7</v>
      </c>
      <c r="V19" s="4">
        <v>10</v>
      </c>
      <c r="W19" s="4">
        <v>1</v>
      </c>
      <c r="X19" s="4" t="s">
        <v>55</v>
      </c>
      <c r="Y19" s="4" t="s">
        <v>119</v>
      </c>
      <c r="Z19" s="4" t="s">
        <v>57</v>
      </c>
    </row>
    <row r="20" spans="1:26" ht="42.75">
      <c r="A20" s="4">
        <v>19</v>
      </c>
      <c r="B20" s="4" t="s">
        <v>120</v>
      </c>
      <c r="C20" s="4" t="s">
        <v>121</v>
      </c>
      <c r="D20" s="4" t="s">
        <v>23</v>
      </c>
      <c r="E20" s="4" t="s">
        <v>51</v>
      </c>
      <c r="F20" s="4" t="s">
        <v>122</v>
      </c>
      <c r="G20" s="4" t="s">
        <v>53</v>
      </c>
      <c r="H20" s="5">
        <v>46183.659143518518</v>
      </c>
      <c r="I20" s="5">
        <v>46183.659143518518</v>
      </c>
      <c r="J20" s="5">
        <v>46183.661921296298</v>
      </c>
      <c r="K20" s="5">
        <v>46183.663310185184</v>
      </c>
      <c r="L20" s="5">
        <v>46183.673726851855</v>
      </c>
      <c r="M20" s="5">
        <v>46183.68414351852</v>
      </c>
      <c r="N20" s="4" t="s">
        <v>54</v>
      </c>
      <c r="O20" s="4" t="s">
        <v>54</v>
      </c>
      <c r="P20" s="4">
        <v>4</v>
      </c>
      <c r="Q20" s="4">
        <v>4</v>
      </c>
      <c r="R20" s="4">
        <v>30</v>
      </c>
      <c r="S20" s="4">
        <v>4</v>
      </c>
      <c r="T20" s="4">
        <v>2</v>
      </c>
      <c r="U20" s="4">
        <v>15</v>
      </c>
      <c r="V20" s="4">
        <v>15</v>
      </c>
      <c r="W20" s="4">
        <v>1</v>
      </c>
      <c r="X20" s="4" t="s">
        <v>55</v>
      </c>
      <c r="Y20" s="4" t="s">
        <v>123</v>
      </c>
      <c r="Z20" s="4" t="s">
        <v>57</v>
      </c>
    </row>
    <row r="21" spans="1:26" ht="28.5">
      <c r="A21" s="4">
        <v>20</v>
      </c>
      <c r="B21" s="4" t="s">
        <v>124</v>
      </c>
      <c r="C21" s="4" t="s">
        <v>125</v>
      </c>
      <c r="D21" s="4" t="s">
        <v>25</v>
      </c>
      <c r="E21" s="4" t="s">
        <v>64</v>
      </c>
      <c r="F21" s="4"/>
      <c r="G21" s="4" t="s">
        <v>83</v>
      </c>
      <c r="H21" s="5">
        <v>46183.660532407404</v>
      </c>
      <c r="I21" s="5">
        <v>46183.660532407404</v>
      </c>
      <c r="J21" s="5"/>
      <c r="K21" s="5">
        <v>46183.661921296298</v>
      </c>
      <c r="L21" s="5"/>
      <c r="M21" s="5">
        <v>46183.66747685185</v>
      </c>
      <c r="N21" s="4" t="s">
        <v>54</v>
      </c>
      <c r="O21" s="4" t="s">
        <v>54</v>
      </c>
      <c r="P21" s="4">
        <v>2</v>
      </c>
      <c r="Q21" s="4">
        <v>2</v>
      </c>
      <c r="R21" s="4">
        <v>8</v>
      </c>
      <c r="S21" s="4">
        <v>2</v>
      </c>
      <c r="T21" s="4">
        <v>0</v>
      </c>
      <c r="U21" s="4">
        <v>8</v>
      </c>
      <c r="V21" s="4">
        <v>0</v>
      </c>
      <c r="W21" s="4">
        <v>1</v>
      </c>
      <c r="X21" s="4" t="s">
        <v>84</v>
      </c>
      <c r="Y21" s="4" t="s">
        <v>126</v>
      </c>
      <c r="Z21" s="4" t="s">
        <v>57</v>
      </c>
    </row>
    <row r="22" spans="1:26" ht="42.75">
      <c r="A22" s="4">
        <v>21</v>
      </c>
      <c r="B22" s="4" t="s">
        <v>127</v>
      </c>
      <c r="C22" s="4" t="s">
        <v>128</v>
      </c>
      <c r="D22" s="4" t="s">
        <v>21</v>
      </c>
      <c r="E22" s="4" t="s">
        <v>51</v>
      </c>
      <c r="F22" s="4" t="s">
        <v>129</v>
      </c>
      <c r="G22" s="4" t="s">
        <v>53</v>
      </c>
      <c r="H22" s="5">
        <v>46183.677581018521</v>
      </c>
      <c r="I22" s="5">
        <v>46183.677581018521</v>
      </c>
      <c r="J22" s="5">
        <v>46183.679664351854</v>
      </c>
      <c r="K22" s="5">
        <v>46183.680358796293</v>
      </c>
      <c r="L22" s="5">
        <v>46183.691469907404</v>
      </c>
      <c r="M22" s="5">
        <v>46183.700497685182</v>
      </c>
      <c r="N22" s="4" t="s">
        <v>54</v>
      </c>
      <c r="O22" s="4" t="s">
        <v>54</v>
      </c>
      <c r="P22" s="4">
        <v>3</v>
      </c>
      <c r="Q22" s="4">
        <v>3</v>
      </c>
      <c r="R22" s="4">
        <v>29</v>
      </c>
      <c r="S22" s="4">
        <v>3</v>
      </c>
      <c r="T22" s="4">
        <v>1</v>
      </c>
      <c r="U22" s="4">
        <v>16</v>
      </c>
      <c r="V22" s="4">
        <v>13</v>
      </c>
      <c r="W22" s="4">
        <v>1</v>
      </c>
      <c r="X22" s="4" t="s">
        <v>55</v>
      </c>
      <c r="Y22" s="4" t="s">
        <v>130</v>
      </c>
      <c r="Z22" s="4" t="s">
        <v>57</v>
      </c>
    </row>
    <row r="23" spans="1:26" ht="28.5">
      <c r="A23" s="4">
        <v>22</v>
      </c>
      <c r="B23" s="4" t="s">
        <v>131</v>
      </c>
      <c r="C23" s="4" t="s">
        <v>132</v>
      </c>
      <c r="D23" s="4" t="s">
        <v>25</v>
      </c>
      <c r="E23" s="4" t="s">
        <v>64</v>
      </c>
      <c r="F23" s="4"/>
      <c r="G23" s="4" t="s">
        <v>83</v>
      </c>
      <c r="H23" s="5">
        <v>46183.684803240743</v>
      </c>
      <c r="I23" s="5">
        <v>46183.684803240743</v>
      </c>
      <c r="J23" s="5"/>
      <c r="K23" s="5">
        <v>46183.686192129629</v>
      </c>
      <c r="L23" s="5"/>
      <c r="M23" s="5">
        <v>46183.690358796295</v>
      </c>
      <c r="N23" s="4" t="s">
        <v>54</v>
      </c>
      <c r="O23" s="4" t="s">
        <v>54</v>
      </c>
      <c r="P23" s="4">
        <v>2</v>
      </c>
      <c r="Q23" s="4">
        <v>2</v>
      </c>
      <c r="R23" s="4">
        <v>6</v>
      </c>
      <c r="S23" s="4">
        <v>2</v>
      </c>
      <c r="T23" s="4">
        <v>0</v>
      </c>
      <c r="U23" s="4">
        <v>6</v>
      </c>
      <c r="V23" s="4">
        <v>0</v>
      </c>
      <c r="W23" s="4">
        <v>1</v>
      </c>
      <c r="X23" s="4" t="s">
        <v>84</v>
      </c>
      <c r="Y23" s="4" t="s">
        <v>133</v>
      </c>
      <c r="Z23" s="4" t="s">
        <v>57</v>
      </c>
    </row>
    <row r="24" spans="1:26" ht="42.75">
      <c r="A24" s="4">
        <v>23</v>
      </c>
      <c r="B24" s="4" t="s">
        <v>134</v>
      </c>
      <c r="C24" s="4" t="s">
        <v>135</v>
      </c>
      <c r="D24" s="4" t="s">
        <v>21</v>
      </c>
      <c r="E24" s="4" t="s">
        <v>51</v>
      </c>
      <c r="F24" s="4" t="s">
        <v>136</v>
      </c>
      <c r="G24" s="4" t="s">
        <v>53</v>
      </c>
      <c r="H24" s="5">
        <v>46183.698923611111</v>
      </c>
      <c r="I24" s="5">
        <v>46183.698923611111</v>
      </c>
      <c r="J24" s="5">
        <v>46183.701006944444</v>
      </c>
      <c r="K24" s="5">
        <v>46183.703090277777</v>
      </c>
      <c r="L24" s="5">
        <v>46183.710729166669</v>
      </c>
      <c r="M24" s="5">
        <v>46183.718368055554</v>
      </c>
      <c r="N24" s="4" t="s">
        <v>54</v>
      </c>
      <c r="O24" s="4" t="s">
        <v>54</v>
      </c>
      <c r="P24" s="4">
        <v>3</v>
      </c>
      <c r="Q24" s="4">
        <v>3</v>
      </c>
      <c r="R24" s="4">
        <v>22</v>
      </c>
      <c r="S24" s="4">
        <v>3</v>
      </c>
      <c r="T24" s="4">
        <v>3</v>
      </c>
      <c r="U24" s="4">
        <v>11</v>
      </c>
      <c r="V24" s="4">
        <v>11</v>
      </c>
      <c r="W24" s="4">
        <v>1</v>
      </c>
      <c r="X24" s="4" t="s">
        <v>55</v>
      </c>
      <c r="Y24" s="4" t="s">
        <v>137</v>
      </c>
      <c r="Z24" s="4" t="s">
        <v>57</v>
      </c>
    </row>
    <row r="25" spans="1:26" ht="28.5">
      <c r="A25" s="4">
        <v>24</v>
      </c>
      <c r="B25" s="4" t="s">
        <v>138</v>
      </c>
      <c r="C25" s="4" t="s">
        <v>139</v>
      </c>
      <c r="D25" s="4" t="s">
        <v>22</v>
      </c>
      <c r="E25" s="4" t="s">
        <v>64</v>
      </c>
      <c r="F25" s="4"/>
      <c r="G25" s="4" t="s">
        <v>53</v>
      </c>
      <c r="H25" s="5">
        <v>46184.637372685182</v>
      </c>
      <c r="I25" s="5">
        <v>46184.637372685182</v>
      </c>
      <c r="J25" s="5"/>
      <c r="K25" s="5">
        <v>46184.638761574075</v>
      </c>
      <c r="L25" s="5">
        <v>46184.647094907406</v>
      </c>
      <c r="M25" s="5">
        <v>46184.649872685186</v>
      </c>
      <c r="N25" s="4" t="s">
        <v>54</v>
      </c>
      <c r="O25" s="4" t="s">
        <v>54</v>
      </c>
      <c r="P25" s="4">
        <v>2</v>
      </c>
      <c r="Q25" s="4">
        <v>2</v>
      </c>
      <c r="R25" s="4">
        <v>16</v>
      </c>
      <c r="S25" s="4">
        <v>2</v>
      </c>
      <c r="T25" s="4">
        <v>0</v>
      </c>
      <c r="U25" s="4">
        <v>12</v>
      </c>
      <c r="V25" s="4">
        <v>4</v>
      </c>
      <c r="W25" s="4">
        <v>1</v>
      </c>
      <c r="X25" s="4" t="s">
        <v>65</v>
      </c>
      <c r="Y25" s="4" t="s">
        <v>140</v>
      </c>
      <c r="Z25" s="4" t="s">
        <v>57</v>
      </c>
    </row>
    <row r="26" spans="1:26" ht="42.75">
      <c r="A26" s="4">
        <v>25</v>
      </c>
      <c r="B26" s="4" t="s">
        <v>141</v>
      </c>
      <c r="C26" s="4" t="s">
        <v>142</v>
      </c>
      <c r="D26" s="4" t="s">
        <v>21</v>
      </c>
      <c r="E26" s="4" t="s">
        <v>51</v>
      </c>
      <c r="F26" s="4" t="s">
        <v>143</v>
      </c>
      <c r="G26" s="4" t="s">
        <v>53</v>
      </c>
      <c r="H26" s="5">
        <v>46184.641041666669</v>
      </c>
      <c r="I26" s="5">
        <v>46184.641041666669</v>
      </c>
      <c r="J26" s="5">
        <v>46184.642430555556</v>
      </c>
      <c r="K26" s="5">
        <v>46184.643819444442</v>
      </c>
      <c r="L26" s="5">
        <v>46184.655624999999</v>
      </c>
      <c r="M26" s="5">
        <v>46184.661874999998</v>
      </c>
      <c r="N26" s="4" t="s">
        <v>54</v>
      </c>
      <c r="O26" s="4" t="s">
        <v>54</v>
      </c>
      <c r="P26" s="4">
        <v>2</v>
      </c>
      <c r="Q26" s="4">
        <v>2</v>
      </c>
      <c r="R26" s="4">
        <v>26</v>
      </c>
      <c r="S26" s="4">
        <v>2</v>
      </c>
      <c r="T26" s="4">
        <v>2</v>
      </c>
      <c r="U26" s="4">
        <v>17</v>
      </c>
      <c r="V26" s="4">
        <v>9</v>
      </c>
      <c r="W26" s="4">
        <v>1</v>
      </c>
      <c r="X26" s="4" t="s">
        <v>55</v>
      </c>
      <c r="Y26" s="4" t="s">
        <v>144</v>
      </c>
      <c r="Z26" s="4" t="s">
        <v>57</v>
      </c>
    </row>
    <row r="27" spans="1:26" ht="28.5">
      <c r="A27" s="4">
        <v>26</v>
      </c>
      <c r="B27" s="4" t="s">
        <v>145</v>
      </c>
      <c r="C27" s="4" t="s">
        <v>146</v>
      </c>
      <c r="D27" s="4" t="s">
        <v>22</v>
      </c>
      <c r="E27" s="4" t="s">
        <v>64</v>
      </c>
      <c r="F27" s="4"/>
      <c r="G27" s="4" t="s">
        <v>53</v>
      </c>
      <c r="H27" s="5">
        <v>46184.652129629627</v>
      </c>
      <c r="I27" s="5">
        <v>46184.652129629627</v>
      </c>
      <c r="J27" s="5"/>
      <c r="K27" s="5">
        <v>46184.65351851852</v>
      </c>
      <c r="L27" s="5">
        <v>46184.659768518519</v>
      </c>
      <c r="M27" s="5">
        <v>46184.669490740744</v>
      </c>
      <c r="N27" s="4" t="s">
        <v>54</v>
      </c>
      <c r="O27" s="4" t="s">
        <v>54</v>
      </c>
      <c r="P27" s="4">
        <v>2</v>
      </c>
      <c r="Q27" s="4">
        <v>2</v>
      </c>
      <c r="R27" s="4">
        <v>23</v>
      </c>
      <c r="S27" s="4">
        <v>2</v>
      </c>
      <c r="T27" s="4">
        <v>0</v>
      </c>
      <c r="U27" s="4">
        <v>9</v>
      </c>
      <c r="V27" s="4">
        <v>14</v>
      </c>
      <c r="W27" s="4">
        <v>1</v>
      </c>
      <c r="X27" s="4" t="s">
        <v>65</v>
      </c>
      <c r="Y27" s="4" t="s">
        <v>147</v>
      </c>
      <c r="Z27" s="4" t="s">
        <v>57</v>
      </c>
    </row>
    <row r="28" spans="1:26" ht="28.5">
      <c r="A28" s="4">
        <v>27</v>
      </c>
      <c r="B28" s="4" t="s">
        <v>148</v>
      </c>
      <c r="C28" s="4" t="s">
        <v>149</v>
      </c>
      <c r="D28" s="4" t="s">
        <v>22</v>
      </c>
      <c r="E28" s="4" t="s">
        <v>64</v>
      </c>
      <c r="F28" s="4"/>
      <c r="G28" s="4" t="s">
        <v>53</v>
      </c>
      <c r="H28" s="5">
        <v>46184.668391203704</v>
      </c>
      <c r="I28" s="5">
        <v>46184.668391203704</v>
      </c>
      <c r="J28" s="5"/>
      <c r="K28" s="5">
        <v>46184.670474537037</v>
      </c>
      <c r="L28" s="5">
        <v>46184.678113425929</v>
      </c>
      <c r="M28" s="5">
        <v>46184.682974537034</v>
      </c>
      <c r="N28" s="4" t="s">
        <v>54</v>
      </c>
      <c r="O28" s="4" t="s">
        <v>54</v>
      </c>
      <c r="P28" s="4">
        <v>3</v>
      </c>
      <c r="Q28" s="4">
        <v>3</v>
      </c>
      <c r="R28" s="4">
        <v>18</v>
      </c>
      <c r="S28" s="4">
        <v>3</v>
      </c>
      <c r="T28" s="4">
        <v>0</v>
      </c>
      <c r="U28" s="4">
        <v>11</v>
      </c>
      <c r="V28" s="4">
        <v>7</v>
      </c>
      <c r="W28" s="4">
        <v>1</v>
      </c>
      <c r="X28" s="4" t="s">
        <v>65</v>
      </c>
      <c r="Y28" s="4" t="s">
        <v>150</v>
      </c>
      <c r="Z28" s="4" t="s">
        <v>57</v>
      </c>
    </row>
    <row r="29" spans="1:26" ht="42.75">
      <c r="A29" s="4">
        <v>28</v>
      </c>
      <c r="B29" s="4" t="s">
        <v>151</v>
      </c>
      <c r="C29" s="4" t="s">
        <v>152</v>
      </c>
      <c r="D29" s="4" t="s">
        <v>21</v>
      </c>
      <c r="E29" s="4" t="s">
        <v>51</v>
      </c>
      <c r="F29" s="4" t="s">
        <v>153</v>
      </c>
      <c r="G29" s="4" t="s">
        <v>53</v>
      </c>
      <c r="H29" s="5">
        <v>46184.674363425926</v>
      </c>
      <c r="I29" s="5">
        <v>46184.674363425926</v>
      </c>
      <c r="J29" s="5">
        <v>46184.676446759258</v>
      </c>
      <c r="K29" s="5">
        <v>46184.677835648145</v>
      </c>
      <c r="L29" s="5">
        <v>46184.688252314816</v>
      </c>
      <c r="M29" s="5">
        <v>46184.696585648147</v>
      </c>
      <c r="N29" s="4" t="s">
        <v>54</v>
      </c>
      <c r="O29" s="4" t="s">
        <v>54</v>
      </c>
      <c r="P29" s="4">
        <v>3</v>
      </c>
      <c r="Q29" s="4">
        <v>3</v>
      </c>
      <c r="R29" s="4">
        <v>27</v>
      </c>
      <c r="S29" s="4">
        <v>3</v>
      </c>
      <c r="T29" s="4">
        <v>2</v>
      </c>
      <c r="U29" s="4">
        <v>15</v>
      </c>
      <c r="V29" s="4">
        <v>12</v>
      </c>
      <c r="W29" s="4">
        <v>1</v>
      </c>
      <c r="X29" s="4" t="s">
        <v>55</v>
      </c>
      <c r="Y29" s="4" t="s">
        <v>154</v>
      </c>
      <c r="Z29" s="4" t="s">
        <v>57</v>
      </c>
    </row>
    <row r="30" spans="1:26" ht="28.5">
      <c r="A30" s="4">
        <v>29</v>
      </c>
      <c r="B30" s="4" t="s">
        <v>155</v>
      </c>
      <c r="C30" s="4" t="s">
        <v>156</v>
      </c>
      <c r="D30" s="4" t="s">
        <v>21</v>
      </c>
      <c r="E30" s="4" t="s">
        <v>64</v>
      </c>
      <c r="F30" s="4"/>
      <c r="G30" s="4" t="s">
        <v>53</v>
      </c>
      <c r="H30" s="5">
        <v>46184.679861111108</v>
      </c>
      <c r="I30" s="5">
        <v>46184.679861111108</v>
      </c>
      <c r="J30" s="5"/>
      <c r="K30" s="5">
        <v>46184.681944444441</v>
      </c>
      <c r="L30" s="5">
        <v>46184.694444444445</v>
      </c>
      <c r="M30" s="5">
        <v>46184.697916666664</v>
      </c>
      <c r="N30" s="4" t="s">
        <v>54</v>
      </c>
      <c r="O30" s="4" t="s">
        <v>54</v>
      </c>
      <c r="P30" s="4">
        <v>3</v>
      </c>
      <c r="Q30" s="4">
        <v>3</v>
      </c>
      <c r="R30" s="4">
        <v>23</v>
      </c>
      <c r="S30" s="4">
        <v>3</v>
      </c>
      <c r="T30" s="4">
        <v>0</v>
      </c>
      <c r="U30" s="4">
        <v>18</v>
      </c>
      <c r="V30" s="4">
        <v>5</v>
      </c>
      <c r="W30" s="4">
        <v>1</v>
      </c>
      <c r="X30" s="4" t="s">
        <v>65</v>
      </c>
      <c r="Y30" s="4" t="s">
        <v>157</v>
      </c>
      <c r="Z30" s="4" t="s">
        <v>57</v>
      </c>
    </row>
    <row r="31" spans="1:26" ht="42.75">
      <c r="A31" s="4">
        <v>30</v>
      </c>
      <c r="B31" s="4" t="s">
        <v>158</v>
      </c>
      <c r="C31" s="4" t="s">
        <v>159</v>
      </c>
      <c r="D31" s="4" t="s">
        <v>21</v>
      </c>
      <c r="E31" s="4" t="s">
        <v>51</v>
      </c>
      <c r="F31" s="4" t="s">
        <v>160</v>
      </c>
      <c r="G31" s="4" t="s">
        <v>53</v>
      </c>
      <c r="H31" s="5">
        <v>46184.680486111109</v>
      </c>
      <c r="I31" s="5">
        <v>46184.680486111109</v>
      </c>
      <c r="J31" s="5">
        <v>46184.682569444441</v>
      </c>
      <c r="K31" s="5">
        <v>46184.683263888888</v>
      </c>
      <c r="L31" s="5">
        <v>46184.690208333333</v>
      </c>
      <c r="M31" s="5">
        <v>46184.697152777779</v>
      </c>
      <c r="N31" s="4" t="s">
        <v>54</v>
      </c>
      <c r="O31" s="4" t="s">
        <v>54</v>
      </c>
      <c r="P31" s="4">
        <v>3</v>
      </c>
      <c r="Q31" s="4">
        <v>3</v>
      </c>
      <c r="R31" s="4">
        <v>20</v>
      </c>
      <c r="S31" s="4">
        <v>3</v>
      </c>
      <c r="T31" s="4">
        <v>1</v>
      </c>
      <c r="U31" s="4">
        <v>10</v>
      </c>
      <c r="V31" s="4">
        <v>10</v>
      </c>
      <c r="W31" s="4">
        <v>1</v>
      </c>
      <c r="X31" s="4" t="s">
        <v>55</v>
      </c>
      <c r="Y31" s="4" t="s">
        <v>161</v>
      </c>
      <c r="Z31" s="4" t="s">
        <v>57</v>
      </c>
    </row>
    <row r="32" spans="1:26" ht="42.75">
      <c r="A32" s="4">
        <v>31</v>
      </c>
      <c r="B32" s="4" t="s">
        <v>162</v>
      </c>
      <c r="C32" s="4" t="s">
        <v>163</v>
      </c>
      <c r="D32" s="4" t="s">
        <v>23</v>
      </c>
      <c r="E32" s="4" t="s">
        <v>51</v>
      </c>
      <c r="F32" s="4" t="s">
        <v>164</v>
      </c>
      <c r="G32" s="4" t="s">
        <v>53</v>
      </c>
      <c r="H32" s="5">
        <v>46184.691087962965</v>
      </c>
      <c r="I32" s="5">
        <v>46184.691087962965</v>
      </c>
      <c r="J32" s="5">
        <v>46184.693865740737</v>
      </c>
      <c r="K32" s="5">
        <v>46184.695254629631</v>
      </c>
      <c r="L32" s="5">
        <v>46184.707754629628</v>
      </c>
      <c r="M32" s="5">
        <v>46184.718171296299</v>
      </c>
      <c r="N32" s="4" t="s">
        <v>54</v>
      </c>
      <c r="O32" s="4" t="s">
        <v>54</v>
      </c>
      <c r="P32" s="4">
        <v>4</v>
      </c>
      <c r="Q32" s="4">
        <v>4</v>
      </c>
      <c r="R32" s="4">
        <v>33</v>
      </c>
      <c r="S32" s="4">
        <v>4</v>
      </c>
      <c r="T32" s="4">
        <v>2</v>
      </c>
      <c r="U32" s="4">
        <v>18</v>
      </c>
      <c r="V32" s="4">
        <v>15</v>
      </c>
      <c r="W32" s="4">
        <v>1</v>
      </c>
      <c r="X32" s="4" t="s">
        <v>55</v>
      </c>
      <c r="Y32" s="4" t="s">
        <v>165</v>
      </c>
      <c r="Z32" s="4" t="s">
        <v>57</v>
      </c>
    </row>
    <row r="33" spans="1:26" ht="28.5">
      <c r="A33" s="4">
        <v>32</v>
      </c>
      <c r="B33" s="4" t="s">
        <v>166</v>
      </c>
      <c r="C33" s="4" t="s">
        <v>167</v>
      </c>
      <c r="D33" s="4" t="s">
        <v>25</v>
      </c>
      <c r="E33" s="4" t="s">
        <v>64</v>
      </c>
      <c r="F33" s="4"/>
      <c r="G33" s="4" t="s">
        <v>83</v>
      </c>
      <c r="H33" s="5">
        <v>46184.692800925928</v>
      </c>
      <c r="I33" s="5">
        <v>46184.692800925928</v>
      </c>
      <c r="J33" s="5"/>
      <c r="K33" s="5">
        <v>46184.694189814814</v>
      </c>
      <c r="L33" s="5"/>
      <c r="M33" s="5">
        <v>46184.699745370373</v>
      </c>
      <c r="N33" s="4" t="s">
        <v>54</v>
      </c>
      <c r="O33" s="4" t="s">
        <v>54</v>
      </c>
      <c r="P33" s="4">
        <v>2</v>
      </c>
      <c r="Q33" s="4">
        <v>2</v>
      </c>
      <c r="R33" s="4">
        <v>8</v>
      </c>
      <c r="S33" s="4">
        <v>2</v>
      </c>
      <c r="T33" s="4">
        <v>0</v>
      </c>
      <c r="U33" s="4">
        <v>8</v>
      </c>
      <c r="V33" s="4">
        <v>0</v>
      </c>
      <c r="W33" s="4">
        <v>1</v>
      </c>
      <c r="X33" s="4" t="s">
        <v>84</v>
      </c>
      <c r="Y33" s="4" t="s">
        <v>168</v>
      </c>
      <c r="Z33" s="4" t="s">
        <v>57</v>
      </c>
    </row>
    <row r="34" spans="1:26" ht="28.5">
      <c r="A34" s="4">
        <v>33</v>
      </c>
      <c r="B34" s="4" t="s">
        <v>169</v>
      </c>
      <c r="C34" s="4" t="s">
        <v>170</v>
      </c>
      <c r="D34" s="4" t="s">
        <v>21</v>
      </c>
      <c r="E34" s="4" t="s">
        <v>64</v>
      </c>
      <c r="F34" s="4"/>
      <c r="G34" s="4" t="s">
        <v>53</v>
      </c>
      <c r="H34" s="5">
        <v>46184.693611111114</v>
      </c>
      <c r="I34" s="5">
        <v>46184.693611111114</v>
      </c>
      <c r="J34" s="5"/>
      <c r="K34" s="5">
        <v>46184.695</v>
      </c>
      <c r="L34" s="5">
        <v>46184.700555555559</v>
      </c>
      <c r="M34" s="5">
        <v>46184.709583333337</v>
      </c>
      <c r="N34" s="4" t="s">
        <v>54</v>
      </c>
      <c r="O34" s="4" t="s">
        <v>54</v>
      </c>
      <c r="P34" s="4">
        <v>2</v>
      </c>
      <c r="Q34" s="4">
        <v>2</v>
      </c>
      <c r="R34" s="4">
        <v>21</v>
      </c>
      <c r="S34" s="4">
        <v>2</v>
      </c>
      <c r="T34" s="4">
        <v>0</v>
      </c>
      <c r="U34" s="4">
        <v>8</v>
      </c>
      <c r="V34" s="4">
        <v>13</v>
      </c>
      <c r="W34" s="4">
        <v>1</v>
      </c>
      <c r="X34" s="4" t="s">
        <v>65</v>
      </c>
      <c r="Y34" s="4" t="s">
        <v>171</v>
      </c>
      <c r="Z34" s="4" t="s">
        <v>57</v>
      </c>
    </row>
    <row r="35" spans="1:26" ht="42.75">
      <c r="A35" s="4">
        <v>34</v>
      </c>
      <c r="B35" s="4" t="s">
        <v>172</v>
      </c>
      <c r="C35" s="4" t="s">
        <v>173</v>
      </c>
      <c r="D35" s="4" t="s">
        <v>23</v>
      </c>
      <c r="E35" s="4" t="s">
        <v>51</v>
      </c>
      <c r="F35" s="4" t="s">
        <v>174</v>
      </c>
      <c r="G35" s="4" t="s">
        <v>53</v>
      </c>
      <c r="H35" s="5">
        <v>46184.700069444443</v>
      </c>
      <c r="I35" s="5">
        <v>46184.700069444443</v>
      </c>
      <c r="J35" s="5">
        <v>46184.702847222223</v>
      </c>
      <c r="K35" s="5">
        <v>46184.704236111109</v>
      </c>
      <c r="L35" s="5">
        <v>46184.716041666667</v>
      </c>
      <c r="M35" s="5">
        <v>46184.720208333332</v>
      </c>
      <c r="N35" s="4" t="s">
        <v>54</v>
      </c>
      <c r="O35" s="4" t="s">
        <v>54</v>
      </c>
      <c r="P35" s="4">
        <v>4</v>
      </c>
      <c r="Q35" s="4">
        <v>4</v>
      </c>
      <c r="R35" s="4">
        <v>23</v>
      </c>
      <c r="S35" s="4">
        <v>4</v>
      </c>
      <c r="T35" s="4">
        <v>2</v>
      </c>
      <c r="U35" s="4">
        <v>17</v>
      </c>
      <c r="V35" s="4">
        <v>6</v>
      </c>
      <c r="W35" s="4">
        <v>1</v>
      </c>
      <c r="X35" s="4" t="s">
        <v>55</v>
      </c>
      <c r="Y35" s="4" t="s">
        <v>175</v>
      </c>
      <c r="Z35" s="4" t="s">
        <v>57</v>
      </c>
    </row>
    <row r="36" spans="1:26" ht="28.5">
      <c r="A36" s="4">
        <v>35</v>
      </c>
      <c r="B36" s="4" t="s">
        <v>176</v>
      </c>
      <c r="C36" s="4" t="s">
        <v>177</v>
      </c>
      <c r="D36" s="4" t="s">
        <v>22</v>
      </c>
      <c r="E36" s="4" t="s">
        <v>64</v>
      </c>
      <c r="F36" s="4"/>
      <c r="G36" s="4" t="s">
        <v>53</v>
      </c>
      <c r="H36" s="5">
        <v>46184.701458333337</v>
      </c>
      <c r="I36" s="5">
        <v>46184.701458333337</v>
      </c>
      <c r="J36" s="5"/>
      <c r="K36" s="5">
        <v>46184.702847222223</v>
      </c>
      <c r="L36" s="5">
        <v>46184.707013888888</v>
      </c>
      <c r="M36" s="5">
        <v>46184.71465277778</v>
      </c>
      <c r="N36" s="4" t="s">
        <v>54</v>
      </c>
      <c r="O36" s="4" t="s">
        <v>54</v>
      </c>
      <c r="P36" s="4">
        <v>2</v>
      </c>
      <c r="Q36" s="4">
        <v>2</v>
      </c>
      <c r="R36" s="4">
        <v>17</v>
      </c>
      <c r="S36" s="4">
        <v>2</v>
      </c>
      <c r="T36" s="4">
        <v>0</v>
      </c>
      <c r="U36" s="4">
        <v>6</v>
      </c>
      <c r="V36" s="4">
        <v>11</v>
      </c>
      <c r="W36" s="4">
        <v>1</v>
      </c>
      <c r="X36" s="4" t="s">
        <v>65</v>
      </c>
      <c r="Y36" s="4" t="s">
        <v>178</v>
      </c>
      <c r="Z36" s="4" t="s">
        <v>57</v>
      </c>
    </row>
    <row r="37" spans="1:26" ht="42.75">
      <c r="A37" s="4">
        <v>36</v>
      </c>
      <c r="B37" s="4" t="s">
        <v>179</v>
      </c>
      <c r="C37" s="4" t="s">
        <v>180</v>
      </c>
      <c r="D37" s="4" t="s">
        <v>23</v>
      </c>
      <c r="E37" s="4" t="s">
        <v>51</v>
      </c>
      <c r="F37" s="4" t="s">
        <v>181</v>
      </c>
      <c r="G37" s="4" t="s">
        <v>53</v>
      </c>
      <c r="H37" s="5">
        <v>46184.701458333337</v>
      </c>
      <c r="I37" s="5">
        <v>46184.701458333337</v>
      </c>
      <c r="J37" s="5">
        <v>46184.704236111109</v>
      </c>
      <c r="K37" s="5">
        <v>46184.704930555556</v>
      </c>
      <c r="L37" s="5">
        <v>46184.71465277778</v>
      </c>
      <c r="M37" s="5">
        <v>46184.717430555553</v>
      </c>
      <c r="N37" s="4" t="s">
        <v>54</v>
      </c>
      <c r="O37" s="4" t="s">
        <v>54</v>
      </c>
      <c r="P37" s="4">
        <v>4</v>
      </c>
      <c r="Q37" s="4">
        <v>4</v>
      </c>
      <c r="R37" s="4">
        <v>18</v>
      </c>
      <c r="S37" s="4">
        <v>4</v>
      </c>
      <c r="T37" s="4">
        <v>1</v>
      </c>
      <c r="U37" s="4">
        <v>14</v>
      </c>
      <c r="V37" s="4">
        <v>4</v>
      </c>
      <c r="W37" s="4">
        <v>1</v>
      </c>
      <c r="X37" s="4" t="s">
        <v>55</v>
      </c>
      <c r="Y37" s="4" t="s">
        <v>182</v>
      </c>
      <c r="Z37" s="4" t="s">
        <v>57</v>
      </c>
    </row>
    <row r="38" spans="1:26" ht="28.5">
      <c r="A38" s="4">
        <v>37</v>
      </c>
      <c r="B38" s="4" t="s">
        <v>183</v>
      </c>
      <c r="C38" s="4" t="s">
        <v>184</v>
      </c>
      <c r="D38" s="4" t="s">
        <v>25</v>
      </c>
      <c r="E38" s="4" t="s">
        <v>64</v>
      </c>
      <c r="F38" s="4"/>
      <c r="G38" s="4" t="s">
        <v>83</v>
      </c>
      <c r="H38" s="5">
        <v>46185.635844907411</v>
      </c>
      <c r="I38" s="5">
        <v>46185.635844907411</v>
      </c>
      <c r="J38" s="5"/>
      <c r="K38" s="5">
        <v>46185.637233796297</v>
      </c>
      <c r="L38" s="5"/>
      <c r="M38" s="5">
        <v>46185.641400462962</v>
      </c>
      <c r="N38" s="4" t="s">
        <v>54</v>
      </c>
      <c r="O38" s="4" t="s">
        <v>54</v>
      </c>
      <c r="P38" s="4">
        <v>2</v>
      </c>
      <c r="Q38" s="4">
        <v>2</v>
      </c>
      <c r="R38" s="4">
        <v>6</v>
      </c>
      <c r="S38" s="4">
        <v>2</v>
      </c>
      <c r="T38" s="4">
        <v>0</v>
      </c>
      <c r="U38" s="4">
        <v>6</v>
      </c>
      <c r="V38" s="4">
        <v>0</v>
      </c>
      <c r="W38" s="4">
        <v>1</v>
      </c>
      <c r="X38" s="4" t="s">
        <v>84</v>
      </c>
      <c r="Y38" s="4" t="s">
        <v>185</v>
      </c>
      <c r="Z38" s="4" t="s">
        <v>57</v>
      </c>
    </row>
    <row r="39" spans="1:26" ht="28.5">
      <c r="A39" s="4">
        <v>38</v>
      </c>
      <c r="B39" s="4" t="s">
        <v>186</v>
      </c>
      <c r="C39" s="4" t="s">
        <v>187</v>
      </c>
      <c r="D39" s="4" t="s">
        <v>25</v>
      </c>
      <c r="E39" s="4" t="s">
        <v>64</v>
      </c>
      <c r="F39" s="4"/>
      <c r="G39" s="4" t="s">
        <v>53</v>
      </c>
      <c r="H39" s="5">
        <v>46185.643078703702</v>
      </c>
      <c r="I39" s="5">
        <v>46185.643078703702</v>
      </c>
      <c r="J39" s="5"/>
      <c r="K39" s="5">
        <v>46185.644467592596</v>
      </c>
      <c r="L39" s="5">
        <v>46185.650023148148</v>
      </c>
      <c r="M39" s="5">
        <v>46185.659745370373</v>
      </c>
      <c r="N39" s="4" t="s">
        <v>54</v>
      </c>
      <c r="O39" s="4" t="s">
        <v>54</v>
      </c>
      <c r="P39" s="4">
        <v>2</v>
      </c>
      <c r="Q39" s="4">
        <v>2</v>
      </c>
      <c r="R39" s="4">
        <v>22</v>
      </c>
      <c r="S39" s="4">
        <v>2</v>
      </c>
      <c r="T39" s="4">
        <v>0</v>
      </c>
      <c r="U39" s="4">
        <v>8</v>
      </c>
      <c r="V39" s="4">
        <v>14</v>
      </c>
      <c r="W39" s="4">
        <v>1</v>
      </c>
      <c r="X39" s="4" t="s">
        <v>65</v>
      </c>
      <c r="Y39" s="4" t="s">
        <v>188</v>
      </c>
      <c r="Z39" s="4" t="s">
        <v>57</v>
      </c>
    </row>
    <row r="40" spans="1:26" ht="42.75">
      <c r="A40" s="4">
        <v>39</v>
      </c>
      <c r="B40" s="4" t="s">
        <v>189</v>
      </c>
      <c r="C40" s="4" t="s">
        <v>190</v>
      </c>
      <c r="D40" s="4" t="s">
        <v>21</v>
      </c>
      <c r="E40" s="4" t="s">
        <v>51</v>
      </c>
      <c r="F40" s="4" t="s">
        <v>191</v>
      </c>
      <c r="G40" s="4" t="s">
        <v>53</v>
      </c>
      <c r="H40" s="5">
        <v>46185.653136574074</v>
      </c>
      <c r="I40" s="5">
        <v>46185.653136574074</v>
      </c>
      <c r="J40" s="5">
        <v>46185.655219907407</v>
      </c>
      <c r="K40" s="5">
        <v>46185.655914351853</v>
      </c>
      <c r="L40" s="5">
        <v>46185.666331018518</v>
      </c>
      <c r="M40" s="5">
        <v>46185.67119212963</v>
      </c>
      <c r="N40" s="4" t="s">
        <v>54</v>
      </c>
      <c r="O40" s="4" t="s">
        <v>54</v>
      </c>
      <c r="P40" s="4">
        <v>3</v>
      </c>
      <c r="Q40" s="4">
        <v>3</v>
      </c>
      <c r="R40" s="4">
        <v>22</v>
      </c>
      <c r="S40" s="4">
        <v>3</v>
      </c>
      <c r="T40" s="4">
        <v>1</v>
      </c>
      <c r="U40" s="4">
        <v>15</v>
      </c>
      <c r="V40" s="4">
        <v>7</v>
      </c>
      <c r="W40" s="4">
        <v>1</v>
      </c>
      <c r="X40" s="4" t="s">
        <v>55</v>
      </c>
      <c r="Y40" s="4" t="s">
        <v>192</v>
      </c>
      <c r="Z40" s="4" t="s">
        <v>57</v>
      </c>
    </row>
    <row r="41" spans="1:26" ht="42.75">
      <c r="A41" s="4">
        <v>40</v>
      </c>
      <c r="B41" s="4" t="s">
        <v>193</v>
      </c>
      <c r="C41" s="4" t="s">
        <v>194</v>
      </c>
      <c r="D41" s="4" t="s">
        <v>21</v>
      </c>
      <c r="E41" s="4" t="s">
        <v>51</v>
      </c>
      <c r="F41" s="4" t="s">
        <v>195</v>
      </c>
      <c r="G41" s="4" t="s">
        <v>53</v>
      </c>
      <c r="H41" s="5">
        <v>46185.682280092595</v>
      </c>
      <c r="I41" s="5">
        <v>46185.682280092595</v>
      </c>
      <c r="J41" s="5">
        <v>46185.684363425928</v>
      </c>
      <c r="K41" s="5">
        <v>46185.685752314814</v>
      </c>
      <c r="L41" s="5">
        <v>46185.698252314818</v>
      </c>
      <c r="M41" s="5">
        <v>46185.706585648149</v>
      </c>
      <c r="N41" s="4" t="s">
        <v>54</v>
      </c>
      <c r="O41" s="4" t="s">
        <v>54</v>
      </c>
      <c r="P41" s="4">
        <v>3</v>
      </c>
      <c r="Q41" s="4">
        <v>3</v>
      </c>
      <c r="R41" s="4">
        <v>30</v>
      </c>
      <c r="S41" s="4">
        <v>3</v>
      </c>
      <c r="T41" s="4">
        <v>2</v>
      </c>
      <c r="U41" s="4">
        <v>18</v>
      </c>
      <c r="V41" s="4">
        <v>12</v>
      </c>
      <c r="W41" s="4">
        <v>1</v>
      </c>
      <c r="X41" s="4" t="s">
        <v>55</v>
      </c>
      <c r="Y41" s="4" t="s">
        <v>196</v>
      </c>
      <c r="Z41" s="4" t="s">
        <v>57</v>
      </c>
    </row>
    <row r="42" spans="1:26" ht="28.5">
      <c r="A42" s="4">
        <v>41</v>
      </c>
      <c r="B42" s="4" t="s">
        <v>197</v>
      </c>
      <c r="C42" s="4" t="s">
        <v>198</v>
      </c>
      <c r="D42" s="4" t="s">
        <v>24</v>
      </c>
      <c r="E42" s="4" t="s">
        <v>64</v>
      </c>
      <c r="F42" s="4"/>
      <c r="G42" s="4" t="s">
        <v>83</v>
      </c>
      <c r="H42" s="5">
        <v>46185.698379629626</v>
      </c>
      <c r="I42" s="5">
        <v>46185.698379629626</v>
      </c>
      <c r="J42" s="5"/>
      <c r="K42" s="5">
        <v>46185.703240740739</v>
      </c>
      <c r="L42" s="5"/>
      <c r="M42" s="5">
        <v>46185.720601851855</v>
      </c>
      <c r="N42" s="4" t="s">
        <v>54</v>
      </c>
      <c r="O42" s="4" t="s">
        <v>54</v>
      </c>
      <c r="P42" s="4">
        <v>7</v>
      </c>
      <c r="Q42" s="4">
        <v>7</v>
      </c>
      <c r="R42" s="4">
        <v>25</v>
      </c>
      <c r="S42" s="4">
        <v>7</v>
      </c>
      <c r="T42" s="4">
        <v>0</v>
      </c>
      <c r="U42" s="4">
        <v>25</v>
      </c>
      <c r="V42" s="4">
        <v>0</v>
      </c>
      <c r="W42" s="4">
        <v>1</v>
      </c>
      <c r="X42" s="4" t="s">
        <v>84</v>
      </c>
      <c r="Y42" s="4" t="s">
        <v>199</v>
      </c>
      <c r="Z42" s="4" t="s">
        <v>57</v>
      </c>
    </row>
    <row r="43" spans="1:26" ht="28.5">
      <c r="A43" s="4">
        <v>42</v>
      </c>
      <c r="B43" s="4" t="s">
        <v>200</v>
      </c>
      <c r="C43" s="4" t="s">
        <v>201</v>
      </c>
      <c r="D43" s="4" t="s">
        <v>25</v>
      </c>
      <c r="E43" s="4" t="s">
        <v>64</v>
      </c>
      <c r="F43" s="4"/>
      <c r="G43" s="4" t="s">
        <v>53</v>
      </c>
      <c r="H43" s="5">
        <v>46186.636076388888</v>
      </c>
      <c r="I43" s="5">
        <v>46186.636076388888</v>
      </c>
      <c r="J43" s="5"/>
      <c r="K43" s="5">
        <v>46186.637465277781</v>
      </c>
      <c r="L43" s="5">
        <v>46186.640243055554</v>
      </c>
      <c r="M43" s="5">
        <v>46186.647187499999</v>
      </c>
      <c r="N43" s="4" t="s">
        <v>54</v>
      </c>
      <c r="O43" s="4" t="s">
        <v>54</v>
      </c>
      <c r="P43" s="4">
        <v>2</v>
      </c>
      <c r="Q43" s="4">
        <v>2</v>
      </c>
      <c r="R43" s="4">
        <v>14</v>
      </c>
      <c r="S43" s="4">
        <v>2</v>
      </c>
      <c r="T43" s="4">
        <v>0</v>
      </c>
      <c r="U43" s="4">
        <v>4</v>
      </c>
      <c r="V43" s="4">
        <v>10</v>
      </c>
      <c r="W43" s="4">
        <v>1</v>
      </c>
      <c r="X43" s="4" t="s">
        <v>65</v>
      </c>
      <c r="Y43" s="4" t="s">
        <v>202</v>
      </c>
      <c r="Z43" s="4" t="s">
        <v>57</v>
      </c>
    </row>
    <row r="44" spans="1:26" ht="28.5">
      <c r="A44" s="4">
        <v>43</v>
      </c>
      <c r="B44" s="4" t="s">
        <v>203</v>
      </c>
      <c r="C44" s="4" t="s">
        <v>204</v>
      </c>
      <c r="D44" s="4" t="s">
        <v>25</v>
      </c>
      <c r="E44" s="4" t="s">
        <v>64</v>
      </c>
      <c r="F44" s="4"/>
      <c r="G44" s="4" t="s">
        <v>83</v>
      </c>
      <c r="H44" s="5">
        <v>46186.639097222222</v>
      </c>
      <c r="I44" s="5">
        <v>46186.639097222222</v>
      </c>
      <c r="J44" s="5"/>
      <c r="K44" s="5">
        <v>46186.640486111108</v>
      </c>
      <c r="L44" s="5"/>
      <c r="M44" s="5">
        <v>46186.644652777781</v>
      </c>
      <c r="N44" s="4" t="s">
        <v>54</v>
      </c>
      <c r="O44" s="4" t="s">
        <v>54</v>
      </c>
      <c r="P44" s="4">
        <v>2</v>
      </c>
      <c r="Q44" s="4">
        <v>2</v>
      </c>
      <c r="R44" s="4">
        <v>6</v>
      </c>
      <c r="S44" s="4">
        <v>2</v>
      </c>
      <c r="T44" s="4">
        <v>0</v>
      </c>
      <c r="U44" s="4">
        <v>6</v>
      </c>
      <c r="V44" s="4">
        <v>0</v>
      </c>
      <c r="W44" s="4">
        <v>1</v>
      </c>
      <c r="X44" s="4" t="s">
        <v>84</v>
      </c>
      <c r="Y44" s="4" t="s">
        <v>205</v>
      </c>
      <c r="Z44" s="4" t="s">
        <v>57</v>
      </c>
    </row>
    <row r="45" spans="1:26" ht="42.75">
      <c r="A45" s="4">
        <v>44</v>
      </c>
      <c r="B45" s="4" t="s">
        <v>206</v>
      </c>
      <c r="C45" s="4" t="s">
        <v>207</v>
      </c>
      <c r="D45" s="4" t="s">
        <v>21</v>
      </c>
      <c r="E45" s="4" t="s">
        <v>51</v>
      </c>
      <c r="F45" s="4" t="s">
        <v>208</v>
      </c>
      <c r="G45" s="4" t="s">
        <v>53</v>
      </c>
      <c r="H45" s="5">
        <v>46186.64434027778</v>
      </c>
      <c r="I45" s="5">
        <v>46186.64434027778</v>
      </c>
      <c r="J45" s="5">
        <v>46186.646423611113</v>
      </c>
      <c r="K45" s="5">
        <v>46186.648506944446</v>
      </c>
      <c r="L45" s="5">
        <v>46186.654062499998</v>
      </c>
      <c r="M45" s="5">
        <v>46186.659618055557</v>
      </c>
      <c r="N45" s="4" t="s">
        <v>54</v>
      </c>
      <c r="O45" s="4" t="s">
        <v>54</v>
      </c>
      <c r="P45" s="4">
        <v>3</v>
      </c>
      <c r="Q45" s="4">
        <v>3</v>
      </c>
      <c r="R45" s="4">
        <v>16</v>
      </c>
      <c r="S45" s="4">
        <v>3</v>
      </c>
      <c r="T45" s="4">
        <v>3</v>
      </c>
      <c r="U45" s="4">
        <v>8</v>
      </c>
      <c r="V45" s="4">
        <v>8</v>
      </c>
      <c r="W45" s="4">
        <v>1</v>
      </c>
      <c r="X45" s="4" t="s">
        <v>55</v>
      </c>
      <c r="Y45" s="4" t="s">
        <v>209</v>
      </c>
      <c r="Z45" s="4" t="s">
        <v>57</v>
      </c>
    </row>
    <row r="46" spans="1:26" ht="28.5">
      <c r="A46" s="4">
        <v>45</v>
      </c>
      <c r="B46" s="4" t="s">
        <v>210</v>
      </c>
      <c r="C46" s="4" t="s">
        <v>211</v>
      </c>
      <c r="D46" s="4" t="s">
        <v>22</v>
      </c>
      <c r="E46" s="4" t="s">
        <v>64</v>
      </c>
      <c r="F46" s="4"/>
      <c r="G46" s="4" t="s">
        <v>53</v>
      </c>
      <c r="H46" s="5">
        <v>46186.653229166666</v>
      </c>
      <c r="I46" s="5">
        <v>46186.653229166666</v>
      </c>
      <c r="J46" s="5"/>
      <c r="K46" s="5">
        <v>46186.654618055552</v>
      </c>
      <c r="L46" s="5">
        <v>46186.662951388891</v>
      </c>
      <c r="M46" s="5">
        <v>46186.671979166669</v>
      </c>
      <c r="N46" s="4" t="s">
        <v>54</v>
      </c>
      <c r="O46" s="4" t="s">
        <v>54</v>
      </c>
      <c r="P46" s="4">
        <v>2</v>
      </c>
      <c r="Q46" s="4">
        <v>2</v>
      </c>
      <c r="R46" s="4">
        <v>25</v>
      </c>
      <c r="S46" s="4">
        <v>2</v>
      </c>
      <c r="T46" s="4">
        <v>0</v>
      </c>
      <c r="U46" s="4">
        <v>12</v>
      </c>
      <c r="V46" s="4">
        <v>13</v>
      </c>
      <c r="W46" s="4">
        <v>1</v>
      </c>
      <c r="X46" s="4" t="s">
        <v>65</v>
      </c>
      <c r="Y46" s="4" t="s">
        <v>212</v>
      </c>
      <c r="Z46" s="4" t="s">
        <v>57</v>
      </c>
    </row>
    <row r="47" spans="1:26" ht="42.75">
      <c r="A47" s="4">
        <v>46</v>
      </c>
      <c r="B47" s="4" t="s">
        <v>213</v>
      </c>
      <c r="C47" s="4" t="s">
        <v>214</v>
      </c>
      <c r="D47" s="4" t="s">
        <v>21</v>
      </c>
      <c r="E47" s="4" t="s">
        <v>51</v>
      </c>
      <c r="F47" s="4" t="s">
        <v>215</v>
      </c>
      <c r="G47" s="4" t="s">
        <v>53</v>
      </c>
      <c r="H47" s="5">
        <v>46186.660613425927</v>
      </c>
      <c r="I47" s="5">
        <v>46186.660613425927</v>
      </c>
      <c r="J47" s="5">
        <v>46186.66269675926</v>
      </c>
      <c r="K47" s="5">
        <v>46186.664085648146</v>
      </c>
      <c r="L47" s="5">
        <v>46186.673807870371</v>
      </c>
      <c r="M47" s="5">
        <v>46186.677974537037</v>
      </c>
      <c r="N47" s="4" t="s">
        <v>54</v>
      </c>
      <c r="O47" s="4" t="s">
        <v>54</v>
      </c>
      <c r="P47" s="4">
        <v>3</v>
      </c>
      <c r="Q47" s="4">
        <v>3</v>
      </c>
      <c r="R47" s="4">
        <v>20</v>
      </c>
      <c r="S47" s="4">
        <v>3</v>
      </c>
      <c r="T47" s="4">
        <v>2</v>
      </c>
      <c r="U47" s="4">
        <v>14</v>
      </c>
      <c r="V47" s="4">
        <v>6</v>
      </c>
      <c r="W47" s="4">
        <v>1</v>
      </c>
      <c r="X47" s="4" t="s">
        <v>55</v>
      </c>
      <c r="Y47" s="4" t="s">
        <v>216</v>
      </c>
      <c r="Z47" s="4" t="s">
        <v>57</v>
      </c>
    </row>
    <row r="48" spans="1:26" ht="42.75">
      <c r="A48" s="4">
        <v>47</v>
      </c>
      <c r="B48" s="4" t="s">
        <v>217</v>
      </c>
      <c r="C48" s="4" t="s">
        <v>218</v>
      </c>
      <c r="D48" s="4" t="s">
        <v>22</v>
      </c>
      <c r="E48" s="4" t="s">
        <v>51</v>
      </c>
      <c r="F48" s="4" t="s">
        <v>219</v>
      </c>
      <c r="G48" s="4" t="s">
        <v>53</v>
      </c>
      <c r="H48" s="5">
        <v>46186.674189814818</v>
      </c>
      <c r="I48" s="5">
        <v>46186.674189814818</v>
      </c>
      <c r="J48" s="5">
        <v>46186.67627314815</v>
      </c>
      <c r="K48" s="5">
        <v>46186.678356481483</v>
      </c>
      <c r="L48" s="5">
        <v>46186.684606481482</v>
      </c>
      <c r="M48" s="5">
        <v>46186.692245370374</v>
      </c>
      <c r="N48" s="4" t="s">
        <v>54</v>
      </c>
      <c r="O48" s="4" t="s">
        <v>54</v>
      </c>
      <c r="P48" s="4">
        <v>3</v>
      </c>
      <c r="Q48" s="4">
        <v>3</v>
      </c>
      <c r="R48" s="4">
        <v>20</v>
      </c>
      <c r="S48" s="4">
        <v>3</v>
      </c>
      <c r="T48" s="4">
        <v>3</v>
      </c>
      <c r="U48" s="4">
        <v>9</v>
      </c>
      <c r="V48" s="4">
        <v>11</v>
      </c>
      <c r="W48" s="4">
        <v>1</v>
      </c>
      <c r="X48" s="4" t="s">
        <v>55</v>
      </c>
      <c r="Y48" s="4" t="s">
        <v>220</v>
      </c>
      <c r="Z48" s="4" t="s">
        <v>57</v>
      </c>
    </row>
    <row r="49" spans="1:26" ht="28.5">
      <c r="A49" s="4">
        <v>48</v>
      </c>
      <c r="B49" s="4" t="s">
        <v>221</v>
      </c>
      <c r="C49" s="4" t="s">
        <v>222</v>
      </c>
      <c r="D49" s="4" t="s">
        <v>22</v>
      </c>
      <c r="E49" s="4" t="s">
        <v>64</v>
      </c>
      <c r="F49" s="4"/>
      <c r="G49" s="4" t="s">
        <v>53</v>
      </c>
      <c r="H49" s="5">
        <v>46186.692384259259</v>
      </c>
      <c r="I49" s="5">
        <v>46186.692384259259</v>
      </c>
      <c r="J49" s="5"/>
      <c r="K49" s="5">
        <v>46186.693773148145</v>
      </c>
      <c r="L49" s="5">
        <v>46186.701412037037</v>
      </c>
      <c r="M49" s="5">
        <v>46186.704189814816</v>
      </c>
      <c r="N49" s="4" t="s">
        <v>54</v>
      </c>
      <c r="O49" s="4" t="s">
        <v>54</v>
      </c>
      <c r="P49" s="4">
        <v>2</v>
      </c>
      <c r="Q49" s="4">
        <v>2</v>
      </c>
      <c r="R49" s="4">
        <v>15</v>
      </c>
      <c r="S49" s="4">
        <v>2</v>
      </c>
      <c r="T49" s="4">
        <v>0</v>
      </c>
      <c r="U49" s="4">
        <v>11</v>
      </c>
      <c r="V49" s="4">
        <v>4</v>
      </c>
      <c r="W49" s="4">
        <v>1</v>
      </c>
      <c r="X49" s="4" t="s">
        <v>65</v>
      </c>
      <c r="Y49" s="4" t="s">
        <v>223</v>
      </c>
      <c r="Z49" s="4" t="s">
        <v>57</v>
      </c>
    </row>
    <row r="50" spans="1:26" ht="28.5">
      <c r="A50" s="4">
        <v>49</v>
      </c>
      <c r="B50" s="4" t="s">
        <v>224</v>
      </c>
      <c r="C50" s="4" t="s">
        <v>225</v>
      </c>
      <c r="D50" s="4" t="s">
        <v>26</v>
      </c>
      <c r="E50" s="4" t="s">
        <v>64</v>
      </c>
      <c r="F50" s="4"/>
      <c r="G50" s="4" t="s">
        <v>83</v>
      </c>
      <c r="H50" s="5">
        <v>46186.697060185186</v>
      </c>
      <c r="I50" s="5">
        <v>46186.697060185186</v>
      </c>
      <c r="J50" s="5"/>
      <c r="K50" s="5">
        <v>46186.700532407405</v>
      </c>
      <c r="L50" s="5"/>
      <c r="M50" s="5">
        <v>46186.722060185188</v>
      </c>
      <c r="N50" s="4" t="s">
        <v>54</v>
      </c>
      <c r="O50" s="4" t="s">
        <v>54</v>
      </c>
      <c r="P50" s="4">
        <v>5</v>
      </c>
      <c r="Q50" s="4">
        <v>5</v>
      </c>
      <c r="R50" s="4">
        <v>31</v>
      </c>
      <c r="S50" s="4">
        <v>5</v>
      </c>
      <c r="T50" s="4">
        <v>0</v>
      </c>
      <c r="U50" s="4">
        <v>31</v>
      </c>
      <c r="V50" s="4">
        <v>0</v>
      </c>
      <c r="W50" s="4">
        <v>1</v>
      </c>
      <c r="X50" s="4" t="s">
        <v>84</v>
      </c>
      <c r="Y50" s="4" t="s">
        <v>226</v>
      </c>
      <c r="Z50" s="4" t="s">
        <v>57</v>
      </c>
    </row>
    <row r="51" spans="1:26" ht="42.75">
      <c r="A51" s="4">
        <v>50</v>
      </c>
      <c r="B51" s="4" t="s">
        <v>227</v>
      </c>
      <c r="C51" s="4" t="s">
        <v>228</v>
      </c>
      <c r="D51" s="4" t="s">
        <v>21</v>
      </c>
      <c r="E51" s="4" t="s">
        <v>51</v>
      </c>
      <c r="F51" s="4" t="s">
        <v>229</v>
      </c>
      <c r="G51" s="4" t="s">
        <v>53</v>
      </c>
      <c r="H51" s="5">
        <v>46186.704861111109</v>
      </c>
      <c r="I51" s="5">
        <v>46186.704861111109</v>
      </c>
      <c r="J51" s="5">
        <v>46186.706944444442</v>
      </c>
      <c r="K51" s="5">
        <v>46186.709027777775</v>
      </c>
      <c r="L51" s="5">
        <v>46186.719444444447</v>
      </c>
      <c r="M51" s="5">
        <v>46186.729166666664</v>
      </c>
      <c r="N51" s="4" t="s">
        <v>54</v>
      </c>
      <c r="O51" s="4" t="s">
        <v>54</v>
      </c>
      <c r="P51" s="4">
        <v>3</v>
      </c>
      <c r="Q51" s="4">
        <v>3</v>
      </c>
      <c r="R51" s="4">
        <v>29</v>
      </c>
      <c r="S51" s="4">
        <v>3</v>
      </c>
      <c r="T51" s="4">
        <v>3</v>
      </c>
      <c r="U51" s="4">
        <v>15</v>
      </c>
      <c r="V51" s="4">
        <v>14</v>
      </c>
      <c r="W51" s="4">
        <v>1</v>
      </c>
      <c r="X51" s="4" t="s">
        <v>55</v>
      </c>
      <c r="Y51" s="4" t="s">
        <v>230</v>
      </c>
      <c r="Z51" s="4" t="s">
        <v>57</v>
      </c>
    </row>
  </sheetData>
  <conditionalFormatting sqref="Q2:R51">
    <cfRule type="dataBar" priority="1">
      <dataBar>
        <cfvo type="min"/>
        <cfvo type="max"/>
        <color rgb="FFB91C1C"/>
      </dataBar>
    </cfRule>
    <cfRule type="dataBar" priority="2">
      <dataBar>
        <cfvo type="min"/>
        <cfvo type="max"/>
        <color rgb="FFB91C1C"/>
      </dataBar>
      <extLst>
        <ext xmlns:x14="http://schemas.microsoft.com/office/spreadsheetml/2009/9/main" uri="{B025F937-C7B1-47D3-B67F-A62EFF666E3E}">
          <x14:id>{0D993F51-2F87-B453-7313-FC645B131EA0}</x14:id>
        </ext>
      </extLst>
    </cfRule>
  </conditionalFormatting>
  <dataValidations count="2">
    <dataValidation type="list" sqref="E2:E51" xr:uid="{00000000-0002-0000-0200-000000000000}">
      <formula1>"CASH,GCASH"</formula1>
    </dataValidation>
    <dataValidation type="list" sqref="N2:O51" xr:uid="{00000000-0002-0000-0200-000001000000}">
      <formula1>"PENDING,APPROVED,ONGOING,FOR PICK-UP,DONE,CANCELLED"</formula1>
    </dataValidation>
  </dataValidations>
  <pageMargins left="0.7" right="0.7" top="0.75" bottom="0.75" header="0.3" footer="0.3"/>
  <pageSetup orientation="portrait" horizontalDpi="0" verticalDpi="0" copies="6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993F51-2F87-B453-7313-FC645B131EA0}">
            <x14:dataBar>
              <x14:cfvo type="min"/>
              <x14:cfvo type="max"/>
              <x14:negativeFillColor auto="1"/>
              <x14:axisColor auto="1"/>
            </x14:dataBar>
          </x14:cfRule>
          <xm:sqref>Q2:R51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5"/>
  <sheetViews>
    <sheetView topLeftCell="B1" workbookViewId="0">
      <selection activeCell="H6" sqref="H6"/>
    </sheetView>
  </sheetViews>
  <sheetFormatPr defaultRowHeight="14.25"/>
  <cols>
    <col min="1" max="1" width="14" customWidth="1"/>
    <col min="2" max="2" width="18" customWidth="1"/>
    <col min="3" max="4" width="26" customWidth="1"/>
    <col min="5" max="5" width="16" customWidth="1"/>
    <col min="6" max="6" width="14" customWidth="1"/>
    <col min="7" max="7" width="16" customWidth="1"/>
    <col min="8" max="9" width="24" customWidth="1"/>
    <col min="10" max="10" width="14" customWidth="1"/>
    <col min="11" max="11" width="16" customWidth="1"/>
    <col min="12" max="12" width="44" customWidth="1"/>
  </cols>
  <sheetData>
    <row r="1" spans="1:12" ht="33.950000000000003" customHeight="1">
      <c r="A1" s="3" t="s">
        <v>17</v>
      </c>
      <c r="B1" s="3" t="s">
        <v>28</v>
      </c>
      <c r="C1" s="3" t="s">
        <v>27</v>
      </c>
      <c r="D1" s="3" t="s">
        <v>18</v>
      </c>
      <c r="E1" s="3" t="s">
        <v>29</v>
      </c>
      <c r="F1" s="3" t="s">
        <v>231</v>
      </c>
      <c r="G1" s="3" t="s">
        <v>232</v>
      </c>
      <c r="H1" s="3" t="s">
        <v>233</v>
      </c>
      <c r="I1" s="3" t="s">
        <v>234</v>
      </c>
      <c r="J1" s="3" t="s">
        <v>235</v>
      </c>
      <c r="K1" s="3" t="s">
        <v>236</v>
      </c>
      <c r="L1" s="3" t="s">
        <v>237</v>
      </c>
    </row>
    <row r="2" spans="1:12">
      <c r="A2" s="4">
        <v>1</v>
      </c>
      <c r="B2" s="4" t="s">
        <v>50</v>
      </c>
      <c r="C2" s="4" t="s">
        <v>49</v>
      </c>
      <c r="D2" s="4" t="s">
        <v>21</v>
      </c>
      <c r="E2" s="4" t="s">
        <v>51</v>
      </c>
      <c r="F2" s="4">
        <v>1</v>
      </c>
      <c r="G2" s="4" t="s">
        <v>238</v>
      </c>
      <c r="H2" s="5">
        <v>46181.650347222225</v>
      </c>
      <c r="I2" s="5">
        <v>46181.652430555558</v>
      </c>
      <c r="J2" s="4">
        <v>3</v>
      </c>
      <c r="K2" s="4" t="s">
        <v>239</v>
      </c>
      <c r="L2" s="4" t="s">
        <v>240</v>
      </c>
    </row>
    <row r="3" spans="1:12" ht="28.5">
      <c r="A3" s="4">
        <v>1</v>
      </c>
      <c r="B3" s="4" t="s">
        <v>50</v>
      </c>
      <c r="C3" s="4" t="s">
        <v>49</v>
      </c>
      <c r="D3" s="4" t="s">
        <v>21</v>
      </c>
      <c r="E3" s="4" t="s">
        <v>51</v>
      </c>
      <c r="F3" s="4">
        <v>2</v>
      </c>
      <c r="G3" s="4" t="s">
        <v>239</v>
      </c>
      <c r="H3" s="5">
        <v>46181.652430555558</v>
      </c>
      <c r="I3" s="5">
        <v>46181.653819444444</v>
      </c>
      <c r="J3" s="4">
        <v>2</v>
      </c>
      <c r="K3" s="4" t="s">
        <v>241</v>
      </c>
      <c r="L3" s="4" t="s">
        <v>242</v>
      </c>
    </row>
    <row r="4" spans="1:12">
      <c r="A4" s="4">
        <v>1</v>
      </c>
      <c r="B4" s="4" t="s">
        <v>50</v>
      </c>
      <c r="C4" s="4" t="s">
        <v>49</v>
      </c>
      <c r="D4" s="4" t="s">
        <v>21</v>
      </c>
      <c r="E4" s="4" t="s">
        <v>51</v>
      </c>
      <c r="F4" s="4">
        <v>3</v>
      </c>
      <c r="G4" s="4" t="s">
        <v>241</v>
      </c>
      <c r="H4" s="5">
        <v>46181.653819444444</v>
      </c>
      <c r="I4" s="5">
        <v>46181.661458333336</v>
      </c>
      <c r="J4" s="4">
        <v>11</v>
      </c>
      <c r="K4" s="4" t="s">
        <v>53</v>
      </c>
      <c r="L4" s="4" t="s">
        <v>243</v>
      </c>
    </row>
    <row r="5" spans="1:12" ht="28.5">
      <c r="A5" s="4">
        <v>1</v>
      </c>
      <c r="B5" s="4" t="s">
        <v>50</v>
      </c>
      <c r="C5" s="4" t="s">
        <v>49</v>
      </c>
      <c r="D5" s="4" t="s">
        <v>21</v>
      </c>
      <c r="E5" s="4" t="s">
        <v>51</v>
      </c>
      <c r="F5" s="4">
        <v>4</v>
      </c>
      <c r="G5" s="4" t="s">
        <v>53</v>
      </c>
      <c r="H5" s="5">
        <v>46181.661458333336</v>
      </c>
      <c r="I5" s="5">
        <v>46181.667708333334</v>
      </c>
      <c r="J5" s="4">
        <v>9</v>
      </c>
      <c r="K5" s="4" t="s">
        <v>54</v>
      </c>
      <c r="L5" s="4" t="s">
        <v>244</v>
      </c>
    </row>
    <row r="6" spans="1:12">
      <c r="A6" s="4">
        <v>1</v>
      </c>
      <c r="B6" s="4" t="s">
        <v>50</v>
      </c>
      <c r="C6" s="4" t="s">
        <v>49</v>
      </c>
      <c r="D6" s="4" t="s">
        <v>21</v>
      </c>
      <c r="E6" s="4" t="s">
        <v>51</v>
      </c>
      <c r="F6" s="4">
        <v>5</v>
      </c>
      <c r="G6" s="4" t="s">
        <v>54</v>
      </c>
      <c r="H6" s="5">
        <v>46181.667708333334</v>
      </c>
      <c r="I6" s="5"/>
      <c r="J6" s="4">
        <v>0</v>
      </c>
      <c r="K6" s="4"/>
      <c r="L6" s="4" t="s">
        <v>245</v>
      </c>
    </row>
    <row r="7" spans="1:12">
      <c r="A7" s="4">
        <v>2</v>
      </c>
      <c r="B7" s="4" t="s">
        <v>59</v>
      </c>
      <c r="C7" s="4" t="s">
        <v>58</v>
      </c>
      <c r="D7" s="4" t="s">
        <v>21</v>
      </c>
      <c r="E7" s="4" t="s">
        <v>51</v>
      </c>
      <c r="F7" s="4">
        <v>1</v>
      </c>
      <c r="G7" s="4" t="s">
        <v>238</v>
      </c>
      <c r="H7" s="5">
        <v>46181.663541666669</v>
      </c>
      <c r="I7" s="5">
        <v>46181.665625000001</v>
      </c>
      <c r="J7" s="4">
        <v>3</v>
      </c>
      <c r="K7" s="4" t="s">
        <v>239</v>
      </c>
      <c r="L7" s="4" t="s">
        <v>240</v>
      </c>
    </row>
    <row r="8" spans="1:12" ht="28.5">
      <c r="A8" s="4">
        <v>2</v>
      </c>
      <c r="B8" s="4" t="s">
        <v>59</v>
      </c>
      <c r="C8" s="4" t="s">
        <v>58</v>
      </c>
      <c r="D8" s="4" t="s">
        <v>21</v>
      </c>
      <c r="E8" s="4" t="s">
        <v>51</v>
      </c>
      <c r="F8" s="4">
        <v>2</v>
      </c>
      <c r="G8" s="4" t="s">
        <v>239</v>
      </c>
      <c r="H8" s="5">
        <v>46181.665625000001</v>
      </c>
      <c r="I8" s="5">
        <v>46181.667708333334</v>
      </c>
      <c r="J8" s="4">
        <v>3</v>
      </c>
      <c r="K8" s="4" t="s">
        <v>241</v>
      </c>
      <c r="L8" s="4" t="s">
        <v>242</v>
      </c>
    </row>
    <row r="9" spans="1:12">
      <c r="A9" s="4">
        <v>2</v>
      </c>
      <c r="B9" s="4" t="s">
        <v>59</v>
      </c>
      <c r="C9" s="4" t="s">
        <v>58</v>
      </c>
      <c r="D9" s="4" t="s">
        <v>21</v>
      </c>
      <c r="E9" s="4" t="s">
        <v>51</v>
      </c>
      <c r="F9" s="4">
        <v>3</v>
      </c>
      <c r="G9" s="4" t="s">
        <v>241</v>
      </c>
      <c r="H9" s="5">
        <v>46181.667708333334</v>
      </c>
      <c r="I9" s="5">
        <v>46181.677430555559</v>
      </c>
      <c r="J9" s="4">
        <v>14</v>
      </c>
      <c r="K9" s="4" t="s">
        <v>53</v>
      </c>
      <c r="L9" s="4" t="s">
        <v>243</v>
      </c>
    </row>
    <row r="10" spans="1:12" ht="28.5">
      <c r="A10" s="4">
        <v>2</v>
      </c>
      <c r="B10" s="4" t="s">
        <v>59</v>
      </c>
      <c r="C10" s="4" t="s">
        <v>58</v>
      </c>
      <c r="D10" s="4" t="s">
        <v>21</v>
      </c>
      <c r="E10" s="4" t="s">
        <v>51</v>
      </c>
      <c r="F10" s="4">
        <v>4</v>
      </c>
      <c r="G10" s="4" t="s">
        <v>53</v>
      </c>
      <c r="H10" s="5">
        <v>46181.677430555559</v>
      </c>
      <c r="I10" s="5">
        <v>46181.687152777777</v>
      </c>
      <c r="J10" s="4">
        <v>14</v>
      </c>
      <c r="K10" s="4" t="s">
        <v>54</v>
      </c>
      <c r="L10" s="4" t="s">
        <v>244</v>
      </c>
    </row>
    <row r="11" spans="1:12">
      <c r="A11" s="4">
        <v>2</v>
      </c>
      <c r="B11" s="4" t="s">
        <v>59</v>
      </c>
      <c r="C11" s="4" t="s">
        <v>58</v>
      </c>
      <c r="D11" s="4" t="s">
        <v>21</v>
      </c>
      <c r="E11" s="4" t="s">
        <v>51</v>
      </c>
      <c r="F11" s="4">
        <v>5</v>
      </c>
      <c r="G11" s="4" t="s">
        <v>54</v>
      </c>
      <c r="H11" s="5">
        <v>46181.687152777777</v>
      </c>
      <c r="I11" s="5"/>
      <c r="J11" s="4">
        <v>0</v>
      </c>
      <c r="K11" s="4"/>
      <c r="L11" s="4" t="s">
        <v>245</v>
      </c>
    </row>
    <row r="12" spans="1:12">
      <c r="A12" s="4">
        <v>3</v>
      </c>
      <c r="B12" s="4" t="s">
        <v>63</v>
      </c>
      <c r="C12" s="4" t="s">
        <v>62</v>
      </c>
      <c r="D12" s="4" t="s">
        <v>21</v>
      </c>
      <c r="E12" s="4" t="s">
        <v>64</v>
      </c>
      <c r="F12" s="4">
        <v>1</v>
      </c>
      <c r="G12" s="4" t="s">
        <v>238</v>
      </c>
      <c r="H12" s="5">
        <v>46181.690428240741</v>
      </c>
      <c r="I12" s="5">
        <v>46181.691817129627</v>
      </c>
      <c r="J12" s="4">
        <v>2</v>
      </c>
      <c r="K12" s="4" t="s">
        <v>241</v>
      </c>
      <c r="L12" s="4" t="s">
        <v>240</v>
      </c>
    </row>
    <row r="13" spans="1:12">
      <c r="A13" s="4">
        <v>3</v>
      </c>
      <c r="B13" s="4" t="s">
        <v>63</v>
      </c>
      <c r="C13" s="4" t="s">
        <v>62</v>
      </c>
      <c r="D13" s="4" t="s">
        <v>21</v>
      </c>
      <c r="E13" s="4" t="s">
        <v>64</v>
      </c>
      <c r="F13" s="4">
        <v>2</v>
      </c>
      <c r="G13" s="4" t="s">
        <v>241</v>
      </c>
      <c r="H13" s="5">
        <v>46181.691817129627</v>
      </c>
      <c r="I13" s="5">
        <v>46181.703622685185</v>
      </c>
      <c r="J13" s="4">
        <v>17</v>
      </c>
      <c r="K13" s="4" t="s">
        <v>53</v>
      </c>
      <c r="L13" s="4" t="s">
        <v>243</v>
      </c>
    </row>
    <row r="14" spans="1:12" ht="28.5">
      <c r="A14" s="4">
        <v>3</v>
      </c>
      <c r="B14" s="4" t="s">
        <v>63</v>
      </c>
      <c r="C14" s="4" t="s">
        <v>62</v>
      </c>
      <c r="D14" s="4" t="s">
        <v>21</v>
      </c>
      <c r="E14" s="4" t="s">
        <v>64</v>
      </c>
      <c r="F14" s="4">
        <v>3</v>
      </c>
      <c r="G14" s="4" t="s">
        <v>53</v>
      </c>
      <c r="H14" s="5">
        <v>46181.703622685185</v>
      </c>
      <c r="I14" s="5">
        <v>46181.708483796298</v>
      </c>
      <c r="J14" s="4">
        <v>7</v>
      </c>
      <c r="K14" s="4" t="s">
        <v>54</v>
      </c>
      <c r="L14" s="4" t="s">
        <v>244</v>
      </c>
    </row>
    <row r="15" spans="1:12">
      <c r="A15" s="4">
        <v>3</v>
      </c>
      <c r="B15" s="4" t="s">
        <v>63</v>
      </c>
      <c r="C15" s="4" t="s">
        <v>62</v>
      </c>
      <c r="D15" s="4" t="s">
        <v>21</v>
      </c>
      <c r="E15" s="4" t="s">
        <v>64</v>
      </c>
      <c r="F15" s="4">
        <v>4</v>
      </c>
      <c r="G15" s="4" t="s">
        <v>54</v>
      </c>
      <c r="H15" s="5">
        <v>46181.708483796298</v>
      </c>
      <c r="I15" s="5"/>
      <c r="J15" s="4">
        <v>0</v>
      </c>
      <c r="K15" s="4"/>
      <c r="L15" s="4" t="s">
        <v>245</v>
      </c>
    </row>
    <row r="16" spans="1:12">
      <c r="A16" s="4">
        <v>4</v>
      </c>
      <c r="B16" s="4" t="s">
        <v>68</v>
      </c>
      <c r="C16" s="4" t="s">
        <v>67</v>
      </c>
      <c r="D16" s="4" t="s">
        <v>21</v>
      </c>
      <c r="E16" s="4" t="s">
        <v>51</v>
      </c>
      <c r="F16" s="4">
        <v>1</v>
      </c>
      <c r="G16" s="4" t="s">
        <v>238</v>
      </c>
      <c r="H16" s="5">
        <v>46181.694895833331</v>
      </c>
      <c r="I16" s="5">
        <v>46181.696979166663</v>
      </c>
      <c r="J16" s="4">
        <v>3</v>
      </c>
      <c r="K16" s="4" t="s">
        <v>239</v>
      </c>
      <c r="L16" s="4" t="s">
        <v>240</v>
      </c>
    </row>
    <row r="17" spans="1:12" ht="28.5">
      <c r="A17" s="4">
        <v>4</v>
      </c>
      <c r="B17" s="4" t="s">
        <v>68</v>
      </c>
      <c r="C17" s="4" t="s">
        <v>67</v>
      </c>
      <c r="D17" s="4" t="s">
        <v>21</v>
      </c>
      <c r="E17" s="4" t="s">
        <v>51</v>
      </c>
      <c r="F17" s="4">
        <v>2</v>
      </c>
      <c r="G17" s="4" t="s">
        <v>239</v>
      </c>
      <c r="H17" s="5">
        <v>46181.696979166663</v>
      </c>
      <c r="I17" s="5">
        <v>46181.698368055557</v>
      </c>
      <c r="J17" s="4">
        <v>2</v>
      </c>
      <c r="K17" s="4" t="s">
        <v>241</v>
      </c>
      <c r="L17" s="4" t="s">
        <v>242</v>
      </c>
    </row>
    <row r="18" spans="1:12">
      <c r="A18" s="4">
        <v>4</v>
      </c>
      <c r="B18" s="4" t="s">
        <v>68</v>
      </c>
      <c r="C18" s="4" t="s">
        <v>67</v>
      </c>
      <c r="D18" s="4" t="s">
        <v>21</v>
      </c>
      <c r="E18" s="4" t="s">
        <v>51</v>
      </c>
      <c r="F18" s="4">
        <v>3</v>
      </c>
      <c r="G18" s="4" t="s">
        <v>241</v>
      </c>
      <c r="H18" s="5">
        <v>46181.698368055557</v>
      </c>
      <c r="I18" s="5">
        <v>46181.704618055555</v>
      </c>
      <c r="J18" s="4">
        <v>9</v>
      </c>
      <c r="K18" s="4" t="s">
        <v>53</v>
      </c>
      <c r="L18" s="4" t="s">
        <v>243</v>
      </c>
    </row>
    <row r="19" spans="1:12" ht="28.5">
      <c r="A19" s="4">
        <v>4</v>
      </c>
      <c r="B19" s="4" t="s">
        <v>68</v>
      </c>
      <c r="C19" s="4" t="s">
        <v>67</v>
      </c>
      <c r="D19" s="4" t="s">
        <v>21</v>
      </c>
      <c r="E19" s="4" t="s">
        <v>51</v>
      </c>
      <c r="F19" s="4">
        <v>4</v>
      </c>
      <c r="G19" s="4" t="s">
        <v>53</v>
      </c>
      <c r="H19" s="5">
        <v>46181.704618055555</v>
      </c>
      <c r="I19" s="5">
        <v>46181.712951388887</v>
      </c>
      <c r="J19" s="4">
        <v>12</v>
      </c>
      <c r="K19" s="4" t="s">
        <v>54</v>
      </c>
      <c r="L19" s="4" t="s">
        <v>244</v>
      </c>
    </row>
    <row r="20" spans="1:12">
      <c r="A20" s="4">
        <v>4</v>
      </c>
      <c r="B20" s="4" t="s">
        <v>68</v>
      </c>
      <c r="C20" s="4" t="s">
        <v>67</v>
      </c>
      <c r="D20" s="4" t="s">
        <v>21</v>
      </c>
      <c r="E20" s="4" t="s">
        <v>51</v>
      </c>
      <c r="F20" s="4">
        <v>5</v>
      </c>
      <c r="G20" s="4" t="s">
        <v>54</v>
      </c>
      <c r="H20" s="5">
        <v>46181.712951388887</v>
      </c>
      <c r="I20" s="5"/>
      <c r="J20" s="4">
        <v>0</v>
      </c>
      <c r="K20" s="4"/>
      <c r="L20" s="4" t="s">
        <v>245</v>
      </c>
    </row>
    <row r="21" spans="1:12">
      <c r="A21" s="4">
        <v>5</v>
      </c>
      <c r="B21" s="4" t="s">
        <v>72</v>
      </c>
      <c r="C21" s="4" t="s">
        <v>71</v>
      </c>
      <c r="D21" s="4" t="s">
        <v>22</v>
      </c>
      <c r="E21" s="4" t="s">
        <v>64</v>
      </c>
      <c r="F21" s="4">
        <v>1</v>
      </c>
      <c r="G21" s="4" t="s">
        <v>238</v>
      </c>
      <c r="H21" s="5">
        <v>46181.695011574076</v>
      </c>
      <c r="I21" s="5">
        <v>46181.696400462963</v>
      </c>
      <c r="J21" s="4">
        <v>2</v>
      </c>
      <c r="K21" s="4" t="s">
        <v>241</v>
      </c>
      <c r="L21" s="4" t="s">
        <v>240</v>
      </c>
    </row>
    <row r="22" spans="1:12">
      <c r="A22" s="4">
        <v>5</v>
      </c>
      <c r="B22" s="4" t="s">
        <v>72</v>
      </c>
      <c r="C22" s="4" t="s">
        <v>71</v>
      </c>
      <c r="D22" s="4" t="s">
        <v>22</v>
      </c>
      <c r="E22" s="4" t="s">
        <v>64</v>
      </c>
      <c r="F22" s="4">
        <v>2</v>
      </c>
      <c r="G22" s="4" t="s">
        <v>241</v>
      </c>
      <c r="H22" s="5">
        <v>46181.696400462963</v>
      </c>
      <c r="I22" s="5">
        <v>46181.702650462961</v>
      </c>
      <c r="J22" s="4">
        <v>9</v>
      </c>
      <c r="K22" s="4" t="s">
        <v>53</v>
      </c>
      <c r="L22" s="4" t="s">
        <v>243</v>
      </c>
    </row>
    <row r="23" spans="1:12" ht="28.5">
      <c r="A23" s="4">
        <v>5</v>
      </c>
      <c r="B23" s="4" t="s">
        <v>72</v>
      </c>
      <c r="C23" s="4" t="s">
        <v>71</v>
      </c>
      <c r="D23" s="4" t="s">
        <v>22</v>
      </c>
      <c r="E23" s="4" t="s">
        <v>64</v>
      </c>
      <c r="F23" s="4">
        <v>3</v>
      </c>
      <c r="G23" s="4" t="s">
        <v>53</v>
      </c>
      <c r="H23" s="5">
        <v>46181.702650462961</v>
      </c>
      <c r="I23" s="5">
        <v>46181.706122685187</v>
      </c>
      <c r="J23" s="4">
        <v>5</v>
      </c>
      <c r="K23" s="4" t="s">
        <v>54</v>
      </c>
      <c r="L23" s="4" t="s">
        <v>244</v>
      </c>
    </row>
    <row r="24" spans="1:12">
      <c r="A24" s="4">
        <v>5</v>
      </c>
      <c r="B24" s="4" t="s">
        <v>72</v>
      </c>
      <c r="C24" s="4" t="s">
        <v>71</v>
      </c>
      <c r="D24" s="4" t="s">
        <v>22</v>
      </c>
      <c r="E24" s="4" t="s">
        <v>64</v>
      </c>
      <c r="F24" s="4">
        <v>4</v>
      </c>
      <c r="G24" s="4" t="s">
        <v>54</v>
      </c>
      <c r="H24" s="5">
        <v>46181.706122685187</v>
      </c>
      <c r="I24" s="5"/>
      <c r="J24" s="4">
        <v>0</v>
      </c>
      <c r="K24" s="4"/>
      <c r="L24" s="4" t="s">
        <v>245</v>
      </c>
    </row>
    <row r="25" spans="1:12">
      <c r="A25" s="4">
        <v>6</v>
      </c>
      <c r="B25" s="4" t="s">
        <v>75</v>
      </c>
      <c r="C25" s="4" t="s">
        <v>74</v>
      </c>
      <c r="D25" s="4" t="s">
        <v>23</v>
      </c>
      <c r="E25" s="4" t="s">
        <v>51</v>
      </c>
      <c r="F25" s="4">
        <v>1</v>
      </c>
      <c r="G25" s="4" t="s">
        <v>238</v>
      </c>
      <c r="H25" s="5">
        <v>46181.701261574075</v>
      </c>
      <c r="I25" s="5">
        <v>46181.704039351855</v>
      </c>
      <c r="J25" s="4">
        <v>4</v>
      </c>
      <c r="K25" s="4" t="s">
        <v>239</v>
      </c>
      <c r="L25" s="4" t="s">
        <v>240</v>
      </c>
    </row>
    <row r="26" spans="1:12" ht="28.5">
      <c r="A26" s="4">
        <v>6</v>
      </c>
      <c r="B26" s="4" t="s">
        <v>75</v>
      </c>
      <c r="C26" s="4" t="s">
        <v>74</v>
      </c>
      <c r="D26" s="4" t="s">
        <v>23</v>
      </c>
      <c r="E26" s="4" t="s">
        <v>51</v>
      </c>
      <c r="F26" s="4">
        <v>2</v>
      </c>
      <c r="G26" s="4" t="s">
        <v>239</v>
      </c>
      <c r="H26" s="5">
        <v>46181.704039351855</v>
      </c>
      <c r="I26" s="5">
        <v>46181.704733796294</v>
      </c>
      <c r="J26" s="4">
        <v>1</v>
      </c>
      <c r="K26" s="4" t="s">
        <v>241</v>
      </c>
      <c r="L26" s="4" t="s">
        <v>242</v>
      </c>
    </row>
    <row r="27" spans="1:12">
      <c r="A27" s="4">
        <v>6</v>
      </c>
      <c r="B27" s="4" t="s">
        <v>75</v>
      </c>
      <c r="C27" s="4" t="s">
        <v>74</v>
      </c>
      <c r="D27" s="4" t="s">
        <v>23</v>
      </c>
      <c r="E27" s="4" t="s">
        <v>51</v>
      </c>
      <c r="F27" s="4">
        <v>3</v>
      </c>
      <c r="G27" s="4" t="s">
        <v>241</v>
      </c>
      <c r="H27" s="5">
        <v>46181.704733796294</v>
      </c>
      <c r="I27" s="5">
        <v>46181.716539351852</v>
      </c>
      <c r="J27" s="4">
        <v>17</v>
      </c>
      <c r="K27" s="4" t="s">
        <v>53</v>
      </c>
      <c r="L27" s="4" t="s">
        <v>243</v>
      </c>
    </row>
    <row r="28" spans="1:12" ht="28.5">
      <c r="A28" s="4">
        <v>6</v>
      </c>
      <c r="B28" s="4" t="s">
        <v>75</v>
      </c>
      <c r="C28" s="4" t="s">
        <v>74</v>
      </c>
      <c r="D28" s="4" t="s">
        <v>23</v>
      </c>
      <c r="E28" s="4" t="s">
        <v>51</v>
      </c>
      <c r="F28" s="4">
        <v>4</v>
      </c>
      <c r="G28" s="4" t="s">
        <v>53</v>
      </c>
      <c r="H28" s="5">
        <v>46181.716539351852</v>
      </c>
      <c r="I28" s="5">
        <v>46181.723483796297</v>
      </c>
      <c r="J28" s="4">
        <v>10</v>
      </c>
      <c r="K28" s="4" t="s">
        <v>54</v>
      </c>
      <c r="L28" s="4" t="s">
        <v>244</v>
      </c>
    </row>
    <row r="29" spans="1:12">
      <c r="A29" s="4">
        <v>6</v>
      </c>
      <c r="B29" s="4" t="s">
        <v>75</v>
      </c>
      <c r="C29" s="4" t="s">
        <v>74</v>
      </c>
      <c r="D29" s="4" t="s">
        <v>23</v>
      </c>
      <c r="E29" s="4" t="s">
        <v>51</v>
      </c>
      <c r="F29" s="4">
        <v>5</v>
      </c>
      <c r="G29" s="4" t="s">
        <v>54</v>
      </c>
      <c r="H29" s="5">
        <v>46181.723483796297</v>
      </c>
      <c r="I29" s="5"/>
      <c r="J29" s="4">
        <v>0</v>
      </c>
      <c r="K29" s="4"/>
      <c r="L29" s="4" t="s">
        <v>245</v>
      </c>
    </row>
    <row r="30" spans="1:12">
      <c r="A30" s="4">
        <v>7</v>
      </c>
      <c r="B30" s="4" t="s">
        <v>79</v>
      </c>
      <c r="C30" s="4" t="s">
        <v>78</v>
      </c>
      <c r="D30" s="4" t="s">
        <v>22</v>
      </c>
      <c r="E30" s="4" t="s">
        <v>64</v>
      </c>
      <c r="F30" s="4">
        <v>1</v>
      </c>
      <c r="G30" s="4" t="s">
        <v>238</v>
      </c>
      <c r="H30" s="5">
        <v>46182.641898148147</v>
      </c>
      <c r="I30" s="5">
        <v>46182.643287037034</v>
      </c>
      <c r="J30" s="4">
        <v>2</v>
      </c>
      <c r="K30" s="4" t="s">
        <v>241</v>
      </c>
      <c r="L30" s="4" t="s">
        <v>240</v>
      </c>
    </row>
    <row r="31" spans="1:12">
      <c r="A31" s="4">
        <v>7</v>
      </c>
      <c r="B31" s="4" t="s">
        <v>79</v>
      </c>
      <c r="C31" s="4" t="s">
        <v>78</v>
      </c>
      <c r="D31" s="4" t="s">
        <v>22</v>
      </c>
      <c r="E31" s="4" t="s">
        <v>64</v>
      </c>
      <c r="F31" s="4">
        <v>2</v>
      </c>
      <c r="G31" s="4" t="s">
        <v>241</v>
      </c>
      <c r="H31" s="5">
        <v>46182.643287037034</v>
      </c>
      <c r="I31" s="5">
        <v>46182.647453703707</v>
      </c>
      <c r="J31" s="4">
        <v>6</v>
      </c>
      <c r="K31" s="4" t="s">
        <v>53</v>
      </c>
      <c r="L31" s="4" t="s">
        <v>243</v>
      </c>
    </row>
    <row r="32" spans="1:12" ht="28.5">
      <c r="A32" s="4">
        <v>7</v>
      </c>
      <c r="B32" s="4" t="s">
        <v>79</v>
      </c>
      <c r="C32" s="4" t="s">
        <v>78</v>
      </c>
      <c r="D32" s="4" t="s">
        <v>22</v>
      </c>
      <c r="E32" s="4" t="s">
        <v>64</v>
      </c>
      <c r="F32" s="4">
        <v>3</v>
      </c>
      <c r="G32" s="4" t="s">
        <v>53</v>
      </c>
      <c r="H32" s="5">
        <v>46182.647453703707</v>
      </c>
      <c r="I32" s="5">
        <v>46182.657870370371</v>
      </c>
      <c r="J32" s="4">
        <v>15</v>
      </c>
      <c r="K32" s="4" t="s">
        <v>54</v>
      </c>
      <c r="L32" s="4" t="s">
        <v>244</v>
      </c>
    </row>
    <row r="33" spans="1:12">
      <c r="A33" s="4">
        <v>7</v>
      </c>
      <c r="B33" s="4" t="s">
        <v>79</v>
      </c>
      <c r="C33" s="4" t="s">
        <v>78</v>
      </c>
      <c r="D33" s="4" t="s">
        <v>22</v>
      </c>
      <c r="E33" s="4" t="s">
        <v>64</v>
      </c>
      <c r="F33" s="4">
        <v>4</v>
      </c>
      <c r="G33" s="4" t="s">
        <v>54</v>
      </c>
      <c r="H33" s="5">
        <v>46182.657870370371</v>
      </c>
      <c r="I33" s="5"/>
      <c r="J33" s="4">
        <v>0</v>
      </c>
      <c r="K33" s="4"/>
      <c r="L33" s="4" t="s">
        <v>245</v>
      </c>
    </row>
    <row r="34" spans="1:12" ht="28.5">
      <c r="A34" s="4">
        <v>8</v>
      </c>
      <c r="B34" s="4" t="s">
        <v>82</v>
      </c>
      <c r="C34" s="4" t="s">
        <v>81</v>
      </c>
      <c r="D34" s="4" t="s">
        <v>24</v>
      </c>
      <c r="E34" s="4" t="s">
        <v>64</v>
      </c>
      <c r="F34" s="4">
        <v>1</v>
      </c>
      <c r="G34" s="4" t="s">
        <v>238</v>
      </c>
      <c r="H34" s="5">
        <v>46182.655335648145</v>
      </c>
      <c r="I34" s="5">
        <v>46182.660891203705</v>
      </c>
      <c r="J34" s="4">
        <v>8</v>
      </c>
      <c r="K34" s="4" t="s">
        <v>241</v>
      </c>
      <c r="L34" s="4" t="s">
        <v>240</v>
      </c>
    </row>
    <row r="35" spans="1:12" ht="28.5">
      <c r="A35" s="4">
        <v>8</v>
      </c>
      <c r="B35" s="4" t="s">
        <v>82</v>
      </c>
      <c r="C35" s="4" t="s">
        <v>81</v>
      </c>
      <c r="D35" s="4" t="s">
        <v>24</v>
      </c>
      <c r="E35" s="4" t="s">
        <v>64</v>
      </c>
      <c r="F35" s="4">
        <v>2</v>
      </c>
      <c r="G35" s="4" t="s">
        <v>241</v>
      </c>
      <c r="H35" s="5">
        <v>46182.660891203705</v>
      </c>
      <c r="I35" s="5">
        <v>46182.676168981481</v>
      </c>
      <c r="J35" s="4">
        <v>22</v>
      </c>
      <c r="K35" s="4" t="s">
        <v>54</v>
      </c>
      <c r="L35" s="4" t="s">
        <v>243</v>
      </c>
    </row>
    <row r="36" spans="1:12" ht="28.5">
      <c r="A36" s="4">
        <v>8</v>
      </c>
      <c r="B36" s="4" t="s">
        <v>82</v>
      </c>
      <c r="C36" s="4" t="s">
        <v>81</v>
      </c>
      <c r="D36" s="4" t="s">
        <v>24</v>
      </c>
      <c r="E36" s="4" t="s">
        <v>64</v>
      </c>
      <c r="F36" s="4">
        <v>3</v>
      </c>
      <c r="G36" s="4" t="s">
        <v>54</v>
      </c>
      <c r="H36" s="5">
        <v>46182.676168981481</v>
      </c>
      <c r="I36" s="5"/>
      <c r="J36" s="4">
        <v>0</v>
      </c>
      <c r="K36" s="4"/>
      <c r="L36" s="4" t="s">
        <v>245</v>
      </c>
    </row>
    <row r="37" spans="1:12">
      <c r="A37" s="4">
        <v>9</v>
      </c>
      <c r="B37" s="4" t="s">
        <v>87</v>
      </c>
      <c r="C37" s="4" t="s">
        <v>86</v>
      </c>
      <c r="D37" s="4" t="s">
        <v>23</v>
      </c>
      <c r="E37" s="4" t="s">
        <v>51</v>
      </c>
      <c r="F37" s="4">
        <v>1</v>
      </c>
      <c r="G37" s="4" t="s">
        <v>238</v>
      </c>
      <c r="H37" s="5">
        <v>46182.656180555554</v>
      </c>
      <c r="I37" s="5">
        <v>46182.658958333333</v>
      </c>
      <c r="J37" s="4">
        <v>4</v>
      </c>
      <c r="K37" s="4" t="s">
        <v>239</v>
      </c>
      <c r="L37" s="4" t="s">
        <v>240</v>
      </c>
    </row>
    <row r="38" spans="1:12" ht="28.5">
      <c r="A38" s="4">
        <v>9</v>
      </c>
      <c r="B38" s="4" t="s">
        <v>87</v>
      </c>
      <c r="C38" s="4" t="s">
        <v>86</v>
      </c>
      <c r="D38" s="4" t="s">
        <v>23</v>
      </c>
      <c r="E38" s="4" t="s">
        <v>51</v>
      </c>
      <c r="F38" s="4">
        <v>2</v>
      </c>
      <c r="G38" s="4" t="s">
        <v>239</v>
      </c>
      <c r="H38" s="5">
        <v>46182.658958333333</v>
      </c>
      <c r="I38" s="5">
        <v>46182.65965277778</v>
      </c>
      <c r="J38" s="4">
        <v>1</v>
      </c>
      <c r="K38" s="4" t="s">
        <v>241</v>
      </c>
      <c r="L38" s="4" t="s">
        <v>242</v>
      </c>
    </row>
    <row r="39" spans="1:12">
      <c r="A39" s="4">
        <v>9</v>
      </c>
      <c r="B39" s="4" t="s">
        <v>87</v>
      </c>
      <c r="C39" s="4" t="s">
        <v>86</v>
      </c>
      <c r="D39" s="4" t="s">
        <v>23</v>
      </c>
      <c r="E39" s="4" t="s">
        <v>51</v>
      </c>
      <c r="F39" s="4">
        <v>3</v>
      </c>
      <c r="G39" s="4" t="s">
        <v>241</v>
      </c>
      <c r="H39" s="5">
        <v>46182.65965277778</v>
      </c>
      <c r="I39" s="5">
        <v>46182.670763888891</v>
      </c>
      <c r="J39" s="4">
        <v>16</v>
      </c>
      <c r="K39" s="4" t="s">
        <v>53</v>
      </c>
      <c r="L39" s="4" t="s">
        <v>243</v>
      </c>
    </row>
    <row r="40" spans="1:12" ht="28.5">
      <c r="A40" s="4">
        <v>9</v>
      </c>
      <c r="B40" s="4" t="s">
        <v>87</v>
      </c>
      <c r="C40" s="4" t="s">
        <v>86</v>
      </c>
      <c r="D40" s="4" t="s">
        <v>23</v>
      </c>
      <c r="E40" s="4" t="s">
        <v>51</v>
      </c>
      <c r="F40" s="4">
        <v>4</v>
      </c>
      <c r="G40" s="4" t="s">
        <v>53</v>
      </c>
      <c r="H40" s="5">
        <v>46182.670763888891</v>
      </c>
      <c r="I40" s="5">
        <v>46182.679791666669</v>
      </c>
      <c r="J40" s="4">
        <v>13</v>
      </c>
      <c r="K40" s="4" t="s">
        <v>54</v>
      </c>
      <c r="L40" s="4" t="s">
        <v>244</v>
      </c>
    </row>
    <row r="41" spans="1:12">
      <c r="A41" s="4">
        <v>9</v>
      </c>
      <c r="B41" s="4" t="s">
        <v>87</v>
      </c>
      <c r="C41" s="4" t="s">
        <v>86</v>
      </c>
      <c r="D41" s="4" t="s">
        <v>23</v>
      </c>
      <c r="E41" s="4" t="s">
        <v>51</v>
      </c>
      <c r="F41" s="4">
        <v>5</v>
      </c>
      <c r="G41" s="4" t="s">
        <v>54</v>
      </c>
      <c r="H41" s="5">
        <v>46182.679791666669</v>
      </c>
      <c r="I41" s="5"/>
      <c r="J41" s="4">
        <v>0</v>
      </c>
      <c r="K41" s="4"/>
      <c r="L41" s="4" t="s">
        <v>245</v>
      </c>
    </row>
    <row r="42" spans="1:12">
      <c r="A42" s="4">
        <v>10</v>
      </c>
      <c r="B42" s="4" t="s">
        <v>91</v>
      </c>
      <c r="C42" s="4" t="s">
        <v>90</v>
      </c>
      <c r="D42" s="4" t="s">
        <v>22</v>
      </c>
      <c r="E42" s="4" t="s">
        <v>64</v>
      </c>
      <c r="F42" s="4">
        <v>1</v>
      </c>
      <c r="G42" s="4" t="s">
        <v>238</v>
      </c>
      <c r="H42" s="5">
        <v>46182.658090277779</v>
      </c>
      <c r="I42" s="5">
        <v>46182.659479166665</v>
      </c>
      <c r="J42" s="4">
        <v>2</v>
      </c>
      <c r="K42" s="4" t="s">
        <v>241</v>
      </c>
      <c r="L42" s="4" t="s">
        <v>240</v>
      </c>
    </row>
    <row r="43" spans="1:12">
      <c r="A43" s="4">
        <v>10</v>
      </c>
      <c r="B43" s="4" t="s">
        <v>91</v>
      </c>
      <c r="C43" s="4" t="s">
        <v>90</v>
      </c>
      <c r="D43" s="4" t="s">
        <v>22</v>
      </c>
      <c r="E43" s="4" t="s">
        <v>64</v>
      </c>
      <c r="F43" s="4">
        <v>2</v>
      </c>
      <c r="G43" s="4" t="s">
        <v>241</v>
      </c>
      <c r="H43" s="5">
        <v>46182.659479166665</v>
      </c>
      <c r="I43" s="5">
        <v>46182.667812500003</v>
      </c>
      <c r="J43" s="4">
        <v>12</v>
      </c>
      <c r="K43" s="4" t="s">
        <v>53</v>
      </c>
      <c r="L43" s="4" t="s">
        <v>243</v>
      </c>
    </row>
    <row r="44" spans="1:12" ht="28.5">
      <c r="A44" s="4">
        <v>10</v>
      </c>
      <c r="B44" s="4" t="s">
        <v>91</v>
      </c>
      <c r="C44" s="4" t="s">
        <v>90</v>
      </c>
      <c r="D44" s="4" t="s">
        <v>22</v>
      </c>
      <c r="E44" s="4" t="s">
        <v>64</v>
      </c>
      <c r="F44" s="4">
        <v>3</v>
      </c>
      <c r="G44" s="4" t="s">
        <v>53</v>
      </c>
      <c r="H44" s="5">
        <v>46182.667812500003</v>
      </c>
      <c r="I44" s="5">
        <v>46182.671979166669</v>
      </c>
      <c r="J44" s="4">
        <v>6</v>
      </c>
      <c r="K44" s="4" t="s">
        <v>54</v>
      </c>
      <c r="L44" s="4" t="s">
        <v>244</v>
      </c>
    </row>
    <row r="45" spans="1:12">
      <c r="A45" s="4">
        <v>10</v>
      </c>
      <c r="B45" s="4" t="s">
        <v>91</v>
      </c>
      <c r="C45" s="4" t="s">
        <v>90</v>
      </c>
      <c r="D45" s="4" t="s">
        <v>22</v>
      </c>
      <c r="E45" s="4" t="s">
        <v>64</v>
      </c>
      <c r="F45" s="4">
        <v>4</v>
      </c>
      <c r="G45" s="4" t="s">
        <v>54</v>
      </c>
      <c r="H45" s="5">
        <v>46182.671979166669</v>
      </c>
      <c r="I45" s="5"/>
      <c r="J45" s="4">
        <v>0</v>
      </c>
      <c r="K45" s="4"/>
      <c r="L45" s="4" t="s">
        <v>245</v>
      </c>
    </row>
    <row r="46" spans="1:12">
      <c r="A46" s="4">
        <v>11</v>
      </c>
      <c r="B46" s="4" t="s">
        <v>94</v>
      </c>
      <c r="C46" s="4" t="s">
        <v>93</v>
      </c>
      <c r="D46" s="4" t="s">
        <v>22</v>
      </c>
      <c r="E46" s="4" t="s">
        <v>64</v>
      </c>
      <c r="F46" s="4">
        <v>1</v>
      </c>
      <c r="G46" s="4" t="s">
        <v>238</v>
      </c>
      <c r="H46" s="5">
        <v>46182.659942129627</v>
      </c>
      <c r="I46" s="5">
        <v>46182.66202546296</v>
      </c>
      <c r="J46" s="4">
        <v>3</v>
      </c>
      <c r="K46" s="4" t="s">
        <v>241</v>
      </c>
      <c r="L46" s="4" t="s">
        <v>240</v>
      </c>
    </row>
    <row r="47" spans="1:12">
      <c r="A47" s="4">
        <v>11</v>
      </c>
      <c r="B47" s="4" t="s">
        <v>94</v>
      </c>
      <c r="C47" s="4" t="s">
        <v>93</v>
      </c>
      <c r="D47" s="4" t="s">
        <v>22</v>
      </c>
      <c r="E47" s="4" t="s">
        <v>64</v>
      </c>
      <c r="F47" s="4">
        <v>2</v>
      </c>
      <c r="G47" s="4" t="s">
        <v>241</v>
      </c>
      <c r="H47" s="5">
        <v>46182.66202546296</v>
      </c>
      <c r="I47" s="5">
        <v>46182.666886574072</v>
      </c>
      <c r="J47" s="4">
        <v>7</v>
      </c>
      <c r="K47" s="4" t="s">
        <v>53</v>
      </c>
      <c r="L47" s="4" t="s">
        <v>243</v>
      </c>
    </row>
    <row r="48" spans="1:12" ht="28.5">
      <c r="A48" s="4">
        <v>11</v>
      </c>
      <c r="B48" s="4" t="s">
        <v>94</v>
      </c>
      <c r="C48" s="4" t="s">
        <v>93</v>
      </c>
      <c r="D48" s="4" t="s">
        <v>22</v>
      </c>
      <c r="E48" s="4" t="s">
        <v>64</v>
      </c>
      <c r="F48" s="4">
        <v>3</v>
      </c>
      <c r="G48" s="4" t="s">
        <v>53</v>
      </c>
      <c r="H48" s="5">
        <v>46182.666886574072</v>
      </c>
      <c r="I48" s="5">
        <v>46182.674525462964</v>
      </c>
      <c r="J48" s="4">
        <v>11</v>
      </c>
      <c r="K48" s="4" t="s">
        <v>54</v>
      </c>
      <c r="L48" s="4" t="s">
        <v>244</v>
      </c>
    </row>
    <row r="49" spans="1:12">
      <c r="A49" s="4">
        <v>11</v>
      </c>
      <c r="B49" s="4" t="s">
        <v>94</v>
      </c>
      <c r="C49" s="4" t="s">
        <v>93</v>
      </c>
      <c r="D49" s="4" t="s">
        <v>22</v>
      </c>
      <c r="E49" s="4" t="s">
        <v>64</v>
      </c>
      <c r="F49" s="4">
        <v>4</v>
      </c>
      <c r="G49" s="4" t="s">
        <v>54</v>
      </c>
      <c r="H49" s="5">
        <v>46182.674525462964</v>
      </c>
      <c r="I49" s="5"/>
      <c r="J49" s="4">
        <v>0</v>
      </c>
      <c r="K49" s="4"/>
      <c r="L49" s="4" t="s">
        <v>245</v>
      </c>
    </row>
    <row r="50" spans="1:12">
      <c r="A50" s="4">
        <v>12</v>
      </c>
      <c r="B50" s="4" t="s">
        <v>97</v>
      </c>
      <c r="C50" s="4" t="s">
        <v>96</v>
      </c>
      <c r="D50" s="4" t="s">
        <v>21</v>
      </c>
      <c r="E50" s="4" t="s">
        <v>51</v>
      </c>
      <c r="F50" s="4">
        <v>1</v>
      </c>
      <c r="G50" s="4" t="s">
        <v>238</v>
      </c>
      <c r="H50" s="5">
        <v>46182.663865740738</v>
      </c>
      <c r="I50" s="5">
        <v>46182.665949074071</v>
      </c>
      <c r="J50" s="4">
        <v>3</v>
      </c>
      <c r="K50" s="4" t="s">
        <v>239</v>
      </c>
      <c r="L50" s="4" t="s">
        <v>240</v>
      </c>
    </row>
    <row r="51" spans="1:12" ht="28.5">
      <c r="A51" s="4">
        <v>12</v>
      </c>
      <c r="B51" s="4" t="s">
        <v>97</v>
      </c>
      <c r="C51" s="4" t="s">
        <v>96</v>
      </c>
      <c r="D51" s="4" t="s">
        <v>21</v>
      </c>
      <c r="E51" s="4" t="s">
        <v>51</v>
      </c>
      <c r="F51" s="4">
        <v>2</v>
      </c>
      <c r="G51" s="4" t="s">
        <v>239</v>
      </c>
      <c r="H51" s="5">
        <v>46182.665949074071</v>
      </c>
      <c r="I51" s="5">
        <v>46182.666643518518</v>
      </c>
      <c r="J51" s="4">
        <v>1</v>
      </c>
      <c r="K51" s="4" t="s">
        <v>241</v>
      </c>
      <c r="L51" s="4" t="s">
        <v>242</v>
      </c>
    </row>
    <row r="52" spans="1:12">
      <c r="A52" s="4">
        <v>12</v>
      </c>
      <c r="B52" s="4" t="s">
        <v>97</v>
      </c>
      <c r="C52" s="4" t="s">
        <v>96</v>
      </c>
      <c r="D52" s="4" t="s">
        <v>21</v>
      </c>
      <c r="E52" s="4" t="s">
        <v>51</v>
      </c>
      <c r="F52" s="4">
        <v>3</v>
      </c>
      <c r="G52" s="4" t="s">
        <v>241</v>
      </c>
      <c r="H52" s="5">
        <v>46182.666643518518</v>
      </c>
      <c r="I52" s="5">
        <v>46182.67428240741</v>
      </c>
      <c r="J52" s="4">
        <v>11</v>
      </c>
      <c r="K52" s="4" t="s">
        <v>53</v>
      </c>
      <c r="L52" s="4" t="s">
        <v>243</v>
      </c>
    </row>
    <row r="53" spans="1:12" ht="28.5">
      <c r="A53" s="4">
        <v>12</v>
      </c>
      <c r="B53" s="4" t="s">
        <v>97</v>
      </c>
      <c r="C53" s="4" t="s">
        <v>96</v>
      </c>
      <c r="D53" s="4" t="s">
        <v>21</v>
      </c>
      <c r="E53" s="4" t="s">
        <v>51</v>
      </c>
      <c r="F53" s="4">
        <v>4</v>
      </c>
      <c r="G53" s="4" t="s">
        <v>53</v>
      </c>
      <c r="H53" s="5">
        <v>46182.67428240741</v>
      </c>
      <c r="I53" s="5">
        <v>46182.677060185182</v>
      </c>
      <c r="J53" s="4">
        <v>4</v>
      </c>
      <c r="K53" s="4" t="s">
        <v>54</v>
      </c>
      <c r="L53" s="4" t="s">
        <v>244</v>
      </c>
    </row>
    <row r="54" spans="1:12">
      <c r="A54" s="4">
        <v>12</v>
      </c>
      <c r="B54" s="4" t="s">
        <v>97</v>
      </c>
      <c r="C54" s="4" t="s">
        <v>96</v>
      </c>
      <c r="D54" s="4" t="s">
        <v>21</v>
      </c>
      <c r="E54" s="4" t="s">
        <v>51</v>
      </c>
      <c r="F54" s="4">
        <v>5</v>
      </c>
      <c r="G54" s="4" t="s">
        <v>54</v>
      </c>
      <c r="H54" s="5">
        <v>46182.677060185182</v>
      </c>
      <c r="I54" s="5"/>
      <c r="J54" s="4">
        <v>0</v>
      </c>
      <c r="K54" s="4"/>
      <c r="L54" s="4" t="s">
        <v>245</v>
      </c>
    </row>
    <row r="55" spans="1:12">
      <c r="A55" s="4">
        <v>13</v>
      </c>
      <c r="B55" s="4" t="s">
        <v>101</v>
      </c>
      <c r="C55" s="4" t="s">
        <v>100</v>
      </c>
      <c r="D55" s="4" t="s">
        <v>21</v>
      </c>
      <c r="E55" s="4" t="s">
        <v>51</v>
      </c>
      <c r="F55" s="4">
        <v>1</v>
      </c>
      <c r="G55" s="4" t="s">
        <v>238</v>
      </c>
      <c r="H55" s="5">
        <v>46182.671643518515</v>
      </c>
      <c r="I55" s="5">
        <v>46182.673726851855</v>
      </c>
      <c r="J55" s="4">
        <v>3</v>
      </c>
      <c r="K55" s="4" t="s">
        <v>239</v>
      </c>
      <c r="L55" s="4" t="s">
        <v>240</v>
      </c>
    </row>
    <row r="56" spans="1:12" ht="28.5">
      <c r="A56" s="4">
        <v>13</v>
      </c>
      <c r="B56" s="4" t="s">
        <v>101</v>
      </c>
      <c r="C56" s="4" t="s">
        <v>100</v>
      </c>
      <c r="D56" s="4" t="s">
        <v>21</v>
      </c>
      <c r="E56" s="4" t="s">
        <v>51</v>
      </c>
      <c r="F56" s="4">
        <v>2</v>
      </c>
      <c r="G56" s="4" t="s">
        <v>239</v>
      </c>
      <c r="H56" s="5">
        <v>46182.673726851855</v>
      </c>
      <c r="I56" s="5">
        <v>46182.675115740742</v>
      </c>
      <c r="J56" s="4">
        <v>2</v>
      </c>
      <c r="K56" s="4" t="s">
        <v>241</v>
      </c>
      <c r="L56" s="4" t="s">
        <v>242</v>
      </c>
    </row>
    <row r="57" spans="1:12">
      <c r="A57" s="4">
        <v>13</v>
      </c>
      <c r="B57" s="4" t="s">
        <v>101</v>
      </c>
      <c r="C57" s="4" t="s">
        <v>100</v>
      </c>
      <c r="D57" s="4" t="s">
        <v>21</v>
      </c>
      <c r="E57" s="4" t="s">
        <v>51</v>
      </c>
      <c r="F57" s="4">
        <v>3</v>
      </c>
      <c r="G57" s="4" t="s">
        <v>241</v>
      </c>
      <c r="H57" s="5">
        <v>46182.675115740742</v>
      </c>
      <c r="I57" s="5">
        <v>46182.684837962966</v>
      </c>
      <c r="J57" s="4">
        <v>14</v>
      </c>
      <c r="K57" s="4" t="s">
        <v>53</v>
      </c>
      <c r="L57" s="4" t="s">
        <v>243</v>
      </c>
    </row>
    <row r="58" spans="1:12" ht="28.5">
      <c r="A58" s="4">
        <v>13</v>
      </c>
      <c r="B58" s="4" t="s">
        <v>101</v>
      </c>
      <c r="C58" s="4" t="s">
        <v>100</v>
      </c>
      <c r="D58" s="4" t="s">
        <v>21</v>
      </c>
      <c r="E58" s="4" t="s">
        <v>51</v>
      </c>
      <c r="F58" s="4">
        <v>4</v>
      </c>
      <c r="G58" s="4" t="s">
        <v>53</v>
      </c>
      <c r="H58" s="5">
        <v>46182.684837962966</v>
      </c>
      <c r="I58" s="5">
        <v>46182.691087962965</v>
      </c>
      <c r="J58" s="4">
        <v>9</v>
      </c>
      <c r="K58" s="4" t="s">
        <v>54</v>
      </c>
      <c r="L58" s="4" t="s">
        <v>244</v>
      </c>
    </row>
    <row r="59" spans="1:12">
      <c r="A59" s="4">
        <v>13</v>
      </c>
      <c r="B59" s="4" t="s">
        <v>101</v>
      </c>
      <c r="C59" s="4" t="s">
        <v>100</v>
      </c>
      <c r="D59" s="4" t="s">
        <v>21</v>
      </c>
      <c r="E59" s="4" t="s">
        <v>51</v>
      </c>
      <c r="F59" s="4">
        <v>5</v>
      </c>
      <c r="G59" s="4" t="s">
        <v>54</v>
      </c>
      <c r="H59" s="5">
        <v>46182.691087962965</v>
      </c>
      <c r="I59" s="5"/>
      <c r="J59" s="4">
        <v>0</v>
      </c>
      <c r="K59" s="4"/>
      <c r="L59" s="4" t="s">
        <v>245</v>
      </c>
    </row>
    <row r="60" spans="1:12">
      <c r="A60" s="4">
        <v>14</v>
      </c>
      <c r="B60" s="4" t="s">
        <v>105</v>
      </c>
      <c r="C60" s="4" t="s">
        <v>104</v>
      </c>
      <c r="D60" s="4" t="s">
        <v>25</v>
      </c>
      <c r="E60" s="4" t="s">
        <v>64</v>
      </c>
      <c r="F60" s="4">
        <v>1</v>
      </c>
      <c r="G60" s="4" t="s">
        <v>238</v>
      </c>
      <c r="H60" s="5">
        <v>46182.672986111109</v>
      </c>
      <c r="I60" s="5">
        <v>46182.674375000002</v>
      </c>
      <c r="J60" s="4">
        <v>2</v>
      </c>
      <c r="K60" s="4" t="s">
        <v>241</v>
      </c>
      <c r="L60" s="4" t="s">
        <v>240</v>
      </c>
    </row>
    <row r="61" spans="1:12">
      <c r="A61" s="4">
        <v>14</v>
      </c>
      <c r="B61" s="4" t="s">
        <v>105</v>
      </c>
      <c r="C61" s="4" t="s">
        <v>104</v>
      </c>
      <c r="D61" s="4" t="s">
        <v>25</v>
      </c>
      <c r="E61" s="4" t="s">
        <v>64</v>
      </c>
      <c r="F61" s="4">
        <v>2</v>
      </c>
      <c r="G61" s="4" t="s">
        <v>241</v>
      </c>
      <c r="H61" s="5">
        <v>46182.674375000002</v>
      </c>
      <c r="I61" s="5">
        <v>46182.679930555554</v>
      </c>
      <c r="J61" s="4">
        <v>8</v>
      </c>
      <c r="K61" s="4" t="s">
        <v>54</v>
      </c>
      <c r="L61" s="4" t="s">
        <v>243</v>
      </c>
    </row>
    <row r="62" spans="1:12">
      <c r="A62" s="4">
        <v>14</v>
      </c>
      <c r="B62" s="4" t="s">
        <v>105</v>
      </c>
      <c r="C62" s="4" t="s">
        <v>104</v>
      </c>
      <c r="D62" s="4" t="s">
        <v>25</v>
      </c>
      <c r="E62" s="4" t="s">
        <v>64</v>
      </c>
      <c r="F62" s="4">
        <v>3</v>
      </c>
      <c r="G62" s="4" t="s">
        <v>54</v>
      </c>
      <c r="H62" s="5">
        <v>46182.679930555554</v>
      </c>
      <c r="I62" s="5"/>
      <c r="J62" s="4">
        <v>0</v>
      </c>
      <c r="K62" s="4"/>
      <c r="L62" s="4" t="s">
        <v>245</v>
      </c>
    </row>
    <row r="63" spans="1:12">
      <c r="A63" s="4">
        <v>15</v>
      </c>
      <c r="B63" s="4" t="s">
        <v>108</v>
      </c>
      <c r="C63" s="4" t="s">
        <v>107</v>
      </c>
      <c r="D63" s="4" t="s">
        <v>25</v>
      </c>
      <c r="E63" s="4" t="s">
        <v>64</v>
      </c>
      <c r="F63" s="4">
        <v>1</v>
      </c>
      <c r="G63" s="4" t="s">
        <v>238</v>
      </c>
      <c r="H63" s="5">
        <v>46182.686874999999</v>
      </c>
      <c r="I63" s="5">
        <v>46182.688263888886</v>
      </c>
      <c r="J63" s="4">
        <v>2</v>
      </c>
      <c r="K63" s="4" t="s">
        <v>241</v>
      </c>
      <c r="L63" s="4" t="s">
        <v>240</v>
      </c>
    </row>
    <row r="64" spans="1:12">
      <c r="A64" s="4">
        <v>15</v>
      </c>
      <c r="B64" s="4" t="s">
        <v>108</v>
      </c>
      <c r="C64" s="4" t="s">
        <v>107</v>
      </c>
      <c r="D64" s="4" t="s">
        <v>25</v>
      </c>
      <c r="E64" s="4" t="s">
        <v>64</v>
      </c>
      <c r="F64" s="4">
        <v>2</v>
      </c>
      <c r="G64" s="4" t="s">
        <v>241</v>
      </c>
      <c r="H64" s="5">
        <v>46182.688263888886</v>
      </c>
      <c r="I64" s="5">
        <v>46182.691041666665</v>
      </c>
      <c r="J64" s="4">
        <v>4</v>
      </c>
      <c r="K64" s="4" t="s">
        <v>53</v>
      </c>
      <c r="L64" s="4" t="s">
        <v>243</v>
      </c>
    </row>
    <row r="65" spans="1:12" ht="28.5">
      <c r="A65" s="4">
        <v>15</v>
      </c>
      <c r="B65" s="4" t="s">
        <v>108</v>
      </c>
      <c r="C65" s="4" t="s">
        <v>107</v>
      </c>
      <c r="D65" s="4" t="s">
        <v>25</v>
      </c>
      <c r="E65" s="4" t="s">
        <v>64</v>
      </c>
      <c r="F65" s="4">
        <v>3</v>
      </c>
      <c r="G65" s="4" t="s">
        <v>53</v>
      </c>
      <c r="H65" s="5">
        <v>46182.691041666665</v>
      </c>
      <c r="I65" s="5">
        <v>46182.695902777778</v>
      </c>
      <c r="J65" s="4">
        <v>7</v>
      </c>
      <c r="K65" s="4" t="s">
        <v>54</v>
      </c>
      <c r="L65" s="4" t="s">
        <v>244</v>
      </c>
    </row>
    <row r="66" spans="1:12">
      <c r="A66" s="4">
        <v>15</v>
      </c>
      <c r="B66" s="4" t="s">
        <v>108</v>
      </c>
      <c r="C66" s="4" t="s">
        <v>107</v>
      </c>
      <c r="D66" s="4" t="s">
        <v>25</v>
      </c>
      <c r="E66" s="4" t="s">
        <v>64</v>
      </c>
      <c r="F66" s="4">
        <v>4</v>
      </c>
      <c r="G66" s="4" t="s">
        <v>54</v>
      </c>
      <c r="H66" s="5">
        <v>46182.695902777778</v>
      </c>
      <c r="I66" s="5"/>
      <c r="J66" s="4">
        <v>0</v>
      </c>
      <c r="K66" s="4"/>
      <c r="L66" s="4" t="s">
        <v>245</v>
      </c>
    </row>
    <row r="67" spans="1:12">
      <c r="A67" s="4">
        <v>16</v>
      </c>
      <c r="B67" s="4" t="s">
        <v>111</v>
      </c>
      <c r="C67" s="4" t="s">
        <v>110</v>
      </c>
      <c r="D67" s="4" t="s">
        <v>25</v>
      </c>
      <c r="E67" s="4" t="s">
        <v>64</v>
      </c>
      <c r="F67" s="4">
        <v>1</v>
      </c>
      <c r="G67" s="4" t="s">
        <v>238</v>
      </c>
      <c r="H67" s="5">
        <v>46182.692696759259</v>
      </c>
      <c r="I67" s="5">
        <v>46182.694085648145</v>
      </c>
      <c r="J67" s="4">
        <v>2</v>
      </c>
      <c r="K67" s="4" t="s">
        <v>241</v>
      </c>
      <c r="L67" s="4" t="s">
        <v>240</v>
      </c>
    </row>
    <row r="68" spans="1:12">
      <c r="A68" s="4">
        <v>16</v>
      </c>
      <c r="B68" s="4" t="s">
        <v>111</v>
      </c>
      <c r="C68" s="4" t="s">
        <v>110</v>
      </c>
      <c r="D68" s="4" t="s">
        <v>25</v>
      </c>
      <c r="E68" s="4" t="s">
        <v>64</v>
      </c>
      <c r="F68" s="4">
        <v>2</v>
      </c>
      <c r="G68" s="4" t="s">
        <v>241</v>
      </c>
      <c r="H68" s="5">
        <v>46182.694085648145</v>
      </c>
      <c r="I68" s="5">
        <v>46182.698252314818</v>
      </c>
      <c r="J68" s="4">
        <v>6</v>
      </c>
      <c r="K68" s="4" t="s">
        <v>53</v>
      </c>
      <c r="L68" s="4" t="s">
        <v>243</v>
      </c>
    </row>
    <row r="69" spans="1:12" ht="28.5">
      <c r="A69" s="4">
        <v>16</v>
      </c>
      <c r="B69" s="4" t="s">
        <v>111</v>
      </c>
      <c r="C69" s="4" t="s">
        <v>110</v>
      </c>
      <c r="D69" s="4" t="s">
        <v>25</v>
      </c>
      <c r="E69" s="4" t="s">
        <v>64</v>
      </c>
      <c r="F69" s="4">
        <v>3</v>
      </c>
      <c r="G69" s="4" t="s">
        <v>53</v>
      </c>
      <c r="H69" s="5">
        <v>46182.698252314818</v>
      </c>
      <c r="I69" s="5">
        <v>46182.706585648149</v>
      </c>
      <c r="J69" s="4">
        <v>12</v>
      </c>
      <c r="K69" s="4" t="s">
        <v>54</v>
      </c>
      <c r="L69" s="4" t="s">
        <v>244</v>
      </c>
    </row>
    <row r="70" spans="1:12">
      <c r="A70" s="4">
        <v>16</v>
      </c>
      <c r="B70" s="4" t="s">
        <v>111</v>
      </c>
      <c r="C70" s="4" t="s">
        <v>110</v>
      </c>
      <c r="D70" s="4" t="s">
        <v>25</v>
      </c>
      <c r="E70" s="4" t="s">
        <v>64</v>
      </c>
      <c r="F70" s="4">
        <v>4</v>
      </c>
      <c r="G70" s="4" t="s">
        <v>54</v>
      </c>
      <c r="H70" s="5">
        <v>46182.706585648149</v>
      </c>
      <c r="I70" s="5"/>
      <c r="J70" s="4">
        <v>0</v>
      </c>
      <c r="K70" s="4"/>
      <c r="L70" s="4" t="s">
        <v>245</v>
      </c>
    </row>
    <row r="71" spans="1:12">
      <c r="A71" s="4">
        <v>17</v>
      </c>
      <c r="B71" s="4" t="s">
        <v>114</v>
      </c>
      <c r="C71" s="4" t="s">
        <v>113</v>
      </c>
      <c r="D71" s="4" t="s">
        <v>22</v>
      </c>
      <c r="E71" s="4" t="s">
        <v>64</v>
      </c>
      <c r="F71" s="4">
        <v>1</v>
      </c>
      <c r="G71" s="4" t="s">
        <v>238</v>
      </c>
      <c r="H71" s="5">
        <v>46182.694768518515</v>
      </c>
      <c r="I71" s="5">
        <v>46182.696851851855</v>
      </c>
      <c r="J71" s="4">
        <v>3</v>
      </c>
      <c r="K71" s="4" t="s">
        <v>241</v>
      </c>
      <c r="L71" s="4" t="s">
        <v>240</v>
      </c>
    </row>
    <row r="72" spans="1:12">
      <c r="A72" s="4">
        <v>17</v>
      </c>
      <c r="B72" s="4" t="s">
        <v>114</v>
      </c>
      <c r="C72" s="4" t="s">
        <v>113</v>
      </c>
      <c r="D72" s="4" t="s">
        <v>22</v>
      </c>
      <c r="E72" s="4" t="s">
        <v>64</v>
      </c>
      <c r="F72" s="4">
        <v>2</v>
      </c>
      <c r="G72" s="4" t="s">
        <v>241</v>
      </c>
      <c r="H72" s="5">
        <v>46182.696851851855</v>
      </c>
      <c r="I72" s="5">
        <v>46182.705185185187</v>
      </c>
      <c r="J72" s="4">
        <v>12</v>
      </c>
      <c r="K72" s="4" t="s">
        <v>53</v>
      </c>
      <c r="L72" s="4" t="s">
        <v>243</v>
      </c>
    </row>
    <row r="73" spans="1:12" ht="28.5">
      <c r="A73" s="4">
        <v>17</v>
      </c>
      <c r="B73" s="4" t="s">
        <v>114</v>
      </c>
      <c r="C73" s="4" t="s">
        <v>113</v>
      </c>
      <c r="D73" s="4" t="s">
        <v>22</v>
      </c>
      <c r="E73" s="4" t="s">
        <v>64</v>
      </c>
      <c r="F73" s="4">
        <v>3</v>
      </c>
      <c r="G73" s="4" t="s">
        <v>53</v>
      </c>
      <c r="H73" s="5">
        <v>46182.705185185187</v>
      </c>
      <c r="I73" s="5">
        <v>46182.708657407406</v>
      </c>
      <c r="J73" s="4">
        <v>5</v>
      </c>
      <c r="K73" s="4" t="s">
        <v>54</v>
      </c>
      <c r="L73" s="4" t="s">
        <v>244</v>
      </c>
    </row>
    <row r="74" spans="1:12">
      <c r="A74" s="4">
        <v>17</v>
      </c>
      <c r="B74" s="4" t="s">
        <v>114</v>
      </c>
      <c r="C74" s="4" t="s">
        <v>113</v>
      </c>
      <c r="D74" s="4" t="s">
        <v>22</v>
      </c>
      <c r="E74" s="4" t="s">
        <v>64</v>
      </c>
      <c r="F74" s="4">
        <v>4</v>
      </c>
      <c r="G74" s="4" t="s">
        <v>54</v>
      </c>
      <c r="H74" s="5">
        <v>46182.708657407406</v>
      </c>
      <c r="I74" s="5"/>
      <c r="J74" s="4">
        <v>0</v>
      </c>
      <c r="K74" s="4"/>
      <c r="L74" s="4" t="s">
        <v>245</v>
      </c>
    </row>
    <row r="75" spans="1:12">
      <c r="A75" s="4">
        <v>18</v>
      </c>
      <c r="B75" s="4" t="s">
        <v>117</v>
      </c>
      <c r="C75" s="4" t="s">
        <v>116</v>
      </c>
      <c r="D75" s="4" t="s">
        <v>22</v>
      </c>
      <c r="E75" s="4" t="s">
        <v>51</v>
      </c>
      <c r="F75" s="4">
        <v>1</v>
      </c>
      <c r="G75" s="4" t="s">
        <v>238</v>
      </c>
      <c r="H75" s="5">
        <v>46183.633101851854</v>
      </c>
      <c r="I75" s="5">
        <v>46183.635185185187</v>
      </c>
      <c r="J75" s="4">
        <v>3</v>
      </c>
      <c r="K75" s="4" t="s">
        <v>239</v>
      </c>
      <c r="L75" s="4" t="s">
        <v>240</v>
      </c>
    </row>
    <row r="76" spans="1:12" ht="28.5">
      <c r="A76" s="4">
        <v>18</v>
      </c>
      <c r="B76" s="4" t="s">
        <v>117</v>
      </c>
      <c r="C76" s="4" t="s">
        <v>116</v>
      </c>
      <c r="D76" s="4" t="s">
        <v>22</v>
      </c>
      <c r="E76" s="4" t="s">
        <v>51</v>
      </c>
      <c r="F76" s="4">
        <v>2</v>
      </c>
      <c r="G76" s="4" t="s">
        <v>239</v>
      </c>
      <c r="H76" s="5">
        <v>46183.635185185187</v>
      </c>
      <c r="I76" s="5">
        <v>46183.635879629626</v>
      </c>
      <c r="J76" s="4">
        <v>1</v>
      </c>
      <c r="K76" s="4" t="s">
        <v>241</v>
      </c>
      <c r="L76" s="4" t="s">
        <v>242</v>
      </c>
    </row>
    <row r="77" spans="1:12">
      <c r="A77" s="4">
        <v>18</v>
      </c>
      <c r="B77" s="4" t="s">
        <v>117</v>
      </c>
      <c r="C77" s="4" t="s">
        <v>116</v>
      </c>
      <c r="D77" s="4" t="s">
        <v>22</v>
      </c>
      <c r="E77" s="4" t="s">
        <v>51</v>
      </c>
      <c r="F77" s="4">
        <v>3</v>
      </c>
      <c r="G77" s="4" t="s">
        <v>241</v>
      </c>
      <c r="H77" s="5">
        <v>46183.635879629626</v>
      </c>
      <c r="I77" s="5">
        <v>46183.640740740739</v>
      </c>
      <c r="J77" s="4">
        <v>7</v>
      </c>
      <c r="K77" s="4" t="s">
        <v>53</v>
      </c>
      <c r="L77" s="4" t="s">
        <v>243</v>
      </c>
    </row>
    <row r="78" spans="1:12" ht="28.5">
      <c r="A78" s="4">
        <v>18</v>
      </c>
      <c r="B78" s="4" t="s">
        <v>117</v>
      </c>
      <c r="C78" s="4" t="s">
        <v>116</v>
      </c>
      <c r="D78" s="4" t="s">
        <v>22</v>
      </c>
      <c r="E78" s="4" t="s">
        <v>51</v>
      </c>
      <c r="F78" s="4">
        <v>4</v>
      </c>
      <c r="G78" s="4" t="s">
        <v>53</v>
      </c>
      <c r="H78" s="5">
        <v>46183.640740740739</v>
      </c>
      <c r="I78" s="5">
        <v>46183.647685185184</v>
      </c>
      <c r="J78" s="4">
        <v>10</v>
      </c>
      <c r="K78" s="4" t="s">
        <v>54</v>
      </c>
      <c r="L78" s="4" t="s">
        <v>244</v>
      </c>
    </row>
    <row r="79" spans="1:12">
      <c r="A79" s="4">
        <v>18</v>
      </c>
      <c r="B79" s="4" t="s">
        <v>117</v>
      </c>
      <c r="C79" s="4" t="s">
        <v>116</v>
      </c>
      <c r="D79" s="4" t="s">
        <v>22</v>
      </c>
      <c r="E79" s="4" t="s">
        <v>51</v>
      </c>
      <c r="F79" s="4">
        <v>5</v>
      </c>
      <c r="G79" s="4" t="s">
        <v>54</v>
      </c>
      <c r="H79" s="5">
        <v>46183.647685185184</v>
      </c>
      <c r="I79" s="5"/>
      <c r="J79" s="4">
        <v>0</v>
      </c>
      <c r="K79" s="4"/>
      <c r="L79" s="4" t="s">
        <v>245</v>
      </c>
    </row>
    <row r="80" spans="1:12">
      <c r="A80" s="4">
        <v>19</v>
      </c>
      <c r="B80" s="4" t="s">
        <v>121</v>
      </c>
      <c r="C80" s="4" t="s">
        <v>120</v>
      </c>
      <c r="D80" s="4" t="s">
        <v>23</v>
      </c>
      <c r="E80" s="4" t="s">
        <v>51</v>
      </c>
      <c r="F80" s="4">
        <v>1</v>
      </c>
      <c r="G80" s="4" t="s">
        <v>238</v>
      </c>
      <c r="H80" s="5">
        <v>46183.659143518518</v>
      </c>
      <c r="I80" s="5">
        <v>46183.661921296298</v>
      </c>
      <c r="J80" s="4">
        <v>4</v>
      </c>
      <c r="K80" s="4" t="s">
        <v>239</v>
      </c>
      <c r="L80" s="4" t="s">
        <v>240</v>
      </c>
    </row>
    <row r="81" spans="1:12" ht="28.5">
      <c r="A81" s="4">
        <v>19</v>
      </c>
      <c r="B81" s="4" t="s">
        <v>121</v>
      </c>
      <c r="C81" s="4" t="s">
        <v>120</v>
      </c>
      <c r="D81" s="4" t="s">
        <v>23</v>
      </c>
      <c r="E81" s="4" t="s">
        <v>51</v>
      </c>
      <c r="F81" s="4">
        <v>2</v>
      </c>
      <c r="G81" s="4" t="s">
        <v>239</v>
      </c>
      <c r="H81" s="5">
        <v>46183.661921296298</v>
      </c>
      <c r="I81" s="5">
        <v>46183.663310185184</v>
      </c>
      <c r="J81" s="4">
        <v>2</v>
      </c>
      <c r="K81" s="4" t="s">
        <v>241</v>
      </c>
      <c r="L81" s="4" t="s">
        <v>242</v>
      </c>
    </row>
    <row r="82" spans="1:12">
      <c r="A82" s="4">
        <v>19</v>
      </c>
      <c r="B82" s="4" t="s">
        <v>121</v>
      </c>
      <c r="C82" s="4" t="s">
        <v>120</v>
      </c>
      <c r="D82" s="4" t="s">
        <v>23</v>
      </c>
      <c r="E82" s="4" t="s">
        <v>51</v>
      </c>
      <c r="F82" s="4">
        <v>3</v>
      </c>
      <c r="G82" s="4" t="s">
        <v>241</v>
      </c>
      <c r="H82" s="5">
        <v>46183.663310185184</v>
      </c>
      <c r="I82" s="5">
        <v>46183.673726851855</v>
      </c>
      <c r="J82" s="4">
        <v>15</v>
      </c>
      <c r="K82" s="4" t="s">
        <v>53</v>
      </c>
      <c r="L82" s="4" t="s">
        <v>243</v>
      </c>
    </row>
    <row r="83" spans="1:12" ht="28.5">
      <c r="A83" s="4">
        <v>19</v>
      </c>
      <c r="B83" s="4" t="s">
        <v>121</v>
      </c>
      <c r="C83" s="4" t="s">
        <v>120</v>
      </c>
      <c r="D83" s="4" t="s">
        <v>23</v>
      </c>
      <c r="E83" s="4" t="s">
        <v>51</v>
      </c>
      <c r="F83" s="4">
        <v>4</v>
      </c>
      <c r="G83" s="4" t="s">
        <v>53</v>
      </c>
      <c r="H83" s="5">
        <v>46183.673726851855</v>
      </c>
      <c r="I83" s="5">
        <v>46183.68414351852</v>
      </c>
      <c r="J83" s="4">
        <v>15</v>
      </c>
      <c r="K83" s="4" t="s">
        <v>54</v>
      </c>
      <c r="L83" s="4" t="s">
        <v>244</v>
      </c>
    </row>
    <row r="84" spans="1:12">
      <c r="A84" s="4">
        <v>19</v>
      </c>
      <c r="B84" s="4" t="s">
        <v>121</v>
      </c>
      <c r="C84" s="4" t="s">
        <v>120</v>
      </c>
      <c r="D84" s="4" t="s">
        <v>23</v>
      </c>
      <c r="E84" s="4" t="s">
        <v>51</v>
      </c>
      <c r="F84" s="4">
        <v>5</v>
      </c>
      <c r="G84" s="4" t="s">
        <v>54</v>
      </c>
      <c r="H84" s="5">
        <v>46183.68414351852</v>
      </c>
      <c r="I84" s="5"/>
      <c r="J84" s="4">
        <v>0</v>
      </c>
      <c r="K84" s="4"/>
      <c r="L84" s="4" t="s">
        <v>245</v>
      </c>
    </row>
    <row r="85" spans="1:12">
      <c r="A85" s="4">
        <v>20</v>
      </c>
      <c r="B85" s="4" t="s">
        <v>125</v>
      </c>
      <c r="C85" s="4" t="s">
        <v>124</v>
      </c>
      <c r="D85" s="4" t="s">
        <v>25</v>
      </c>
      <c r="E85" s="4" t="s">
        <v>64</v>
      </c>
      <c r="F85" s="4">
        <v>1</v>
      </c>
      <c r="G85" s="4" t="s">
        <v>238</v>
      </c>
      <c r="H85" s="5">
        <v>46183.660532407404</v>
      </c>
      <c r="I85" s="5">
        <v>46183.661921296298</v>
      </c>
      <c r="J85" s="4">
        <v>2</v>
      </c>
      <c r="K85" s="4" t="s">
        <v>241</v>
      </c>
      <c r="L85" s="4" t="s">
        <v>240</v>
      </c>
    </row>
    <row r="86" spans="1:12">
      <c r="A86" s="4">
        <v>20</v>
      </c>
      <c r="B86" s="4" t="s">
        <v>125</v>
      </c>
      <c r="C86" s="4" t="s">
        <v>124</v>
      </c>
      <c r="D86" s="4" t="s">
        <v>25</v>
      </c>
      <c r="E86" s="4" t="s">
        <v>64</v>
      </c>
      <c r="F86" s="4">
        <v>2</v>
      </c>
      <c r="G86" s="4" t="s">
        <v>241</v>
      </c>
      <c r="H86" s="5">
        <v>46183.661921296298</v>
      </c>
      <c r="I86" s="5">
        <v>46183.66747685185</v>
      </c>
      <c r="J86" s="4">
        <v>8</v>
      </c>
      <c r="K86" s="4" t="s">
        <v>54</v>
      </c>
      <c r="L86" s="4" t="s">
        <v>243</v>
      </c>
    </row>
    <row r="87" spans="1:12">
      <c r="A87" s="4">
        <v>20</v>
      </c>
      <c r="B87" s="4" t="s">
        <v>125</v>
      </c>
      <c r="C87" s="4" t="s">
        <v>124</v>
      </c>
      <c r="D87" s="4" t="s">
        <v>25</v>
      </c>
      <c r="E87" s="4" t="s">
        <v>64</v>
      </c>
      <c r="F87" s="4">
        <v>3</v>
      </c>
      <c r="G87" s="4" t="s">
        <v>54</v>
      </c>
      <c r="H87" s="5">
        <v>46183.66747685185</v>
      </c>
      <c r="I87" s="5"/>
      <c r="J87" s="4">
        <v>0</v>
      </c>
      <c r="K87" s="4"/>
      <c r="L87" s="4" t="s">
        <v>245</v>
      </c>
    </row>
    <row r="88" spans="1:12">
      <c r="A88" s="4">
        <v>21</v>
      </c>
      <c r="B88" s="4" t="s">
        <v>128</v>
      </c>
      <c r="C88" s="4" t="s">
        <v>127</v>
      </c>
      <c r="D88" s="4" t="s">
        <v>21</v>
      </c>
      <c r="E88" s="4" t="s">
        <v>51</v>
      </c>
      <c r="F88" s="4">
        <v>1</v>
      </c>
      <c r="G88" s="4" t="s">
        <v>238</v>
      </c>
      <c r="H88" s="5">
        <v>46183.677581018521</v>
      </c>
      <c r="I88" s="5">
        <v>46183.679664351854</v>
      </c>
      <c r="J88" s="4">
        <v>3</v>
      </c>
      <c r="K88" s="4" t="s">
        <v>239</v>
      </c>
      <c r="L88" s="4" t="s">
        <v>240</v>
      </c>
    </row>
    <row r="89" spans="1:12" ht="28.5">
      <c r="A89" s="4">
        <v>21</v>
      </c>
      <c r="B89" s="4" t="s">
        <v>128</v>
      </c>
      <c r="C89" s="4" t="s">
        <v>127</v>
      </c>
      <c r="D89" s="4" t="s">
        <v>21</v>
      </c>
      <c r="E89" s="4" t="s">
        <v>51</v>
      </c>
      <c r="F89" s="4">
        <v>2</v>
      </c>
      <c r="G89" s="4" t="s">
        <v>239</v>
      </c>
      <c r="H89" s="5">
        <v>46183.679664351854</v>
      </c>
      <c r="I89" s="5">
        <v>46183.680358796293</v>
      </c>
      <c r="J89" s="4">
        <v>1</v>
      </c>
      <c r="K89" s="4" t="s">
        <v>241</v>
      </c>
      <c r="L89" s="4" t="s">
        <v>242</v>
      </c>
    </row>
    <row r="90" spans="1:12">
      <c r="A90" s="4">
        <v>21</v>
      </c>
      <c r="B90" s="4" t="s">
        <v>128</v>
      </c>
      <c r="C90" s="4" t="s">
        <v>127</v>
      </c>
      <c r="D90" s="4" t="s">
        <v>21</v>
      </c>
      <c r="E90" s="4" t="s">
        <v>51</v>
      </c>
      <c r="F90" s="4">
        <v>3</v>
      </c>
      <c r="G90" s="4" t="s">
        <v>241</v>
      </c>
      <c r="H90" s="5">
        <v>46183.680358796293</v>
      </c>
      <c r="I90" s="5">
        <v>46183.691469907404</v>
      </c>
      <c r="J90" s="4">
        <v>16</v>
      </c>
      <c r="K90" s="4" t="s">
        <v>53</v>
      </c>
      <c r="L90" s="4" t="s">
        <v>243</v>
      </c>
    </row>
    <row r="91" spans="1:12" ht="28.5">
      <c r="A91" s="4">
        <v>21</v>
      </c>
      <c r="B91" s="4" t="s">
        <v>128</v>
      </c>
      <c r="C91" s="4" t="s">
        <v>127</v>
      </c>
      <c r="D91" s="4" t="s">
        <v>21</v>
      </c>
      <c r="E91" s="4" t="s">
        <v>51</v>
      </c>
      <c r="F91" s="4">
        <v>4</v>
      </c>
      <c r="G91" s="4" t="s">
        <v>53</v>
      </c>
      <c r="H91" s="5">
        <v>46183.691469907404</v>
      </c>
      <c r="I91" s="5">
        <v>46183.700497685182</v>
      </c>
      <c r="J91" s="4">
        <v>13</v>
      </c>
      <c r="K91" s="4" t="s">
        <v>54</v>
      </c>
      <c r="L91" s="4" t="s">
        <v>244</v>
      </c>
    </row>
    <row r="92" spans="1:12">
      <c r="A92" s="4">
        <v>21</v>
      </c>
      <c r="B92" s="4" t="s">
        <v>128</v>
      </c>
      <c r="C92" s="4" t="s">
        <v>127</v>
      </c>
      <c r="D92" s="4" t="s">
        <v>21</v>
      </c>
      <c r="E92" s="4" t="s">
        <v>51</v>
      </c>
      <c r="F92" s="4">
        <v>5</v>
      </c>
      <c r="G92" s="4" t="s">
        <v>54</v>
      </c>
      <c r="H92" s="5">
        <v>46183.700497685182</v>
      </c>
      <c r="I92" s="5"/>
      <c r="J92" s="4">
        <v>0</v>
      </c>
      <c r="K92" s="4"/>
      <c r="L92" s="4" t="s">
        <v>245</v>
      </c>
    </row>
    <row r="93" spans="1:12">
      <c r="A93" s="4">
        <v>22</v>
      </c>
      <c r="B93" s="4" t="s">
        <v>132</v>
      </c>
      <c r="C93" s="4" t="s">
        <v>131</v>
      </c>
      <c r="D93" s="4" t="s">
        <v>25</v>
      </c>
      <c r="E93" s="4" t="s">
        <v>64</v>
      </c>
      <c r="F93" s="4">
        <v>1</v>
      </c>
      <c r="G93" s="4" t="s">
        <v>238</v>
      </c>
      <c r="H93" s="5">
        <v>46183.684803240743</v>
      </c>
      <c r="I93" s="5">
        <v>46183.686192129629</v>
      </c>
      <c r="J93" s="4">
        <v>2</v>
      </c>
      <c r="K93" s="4" t="s">
        <v>241</v>
      </c>
      <c r="L93" s="4" t="s">
        <v>240</v>
      </c>
    </row>
    <row r="94" spans="1:12">
      <c r="A94" s="4">
        <v>22</v>
      </c>
      <c r="B94" s="4" t="s">
        <v>132</v>
      </c>
      <c r="C94" s="4" t="s">
        <v>131</v>
      </c>
      <c r="D94" s="4" t="s">
        <v>25</v>
      </c>
      <c r="E94" s="4" t="s">
        <v>64</v>
      </c>
      <c r="F94" s="4">
        <v>2</v>
      </c>
      <c r="G94" s="4" t="s">
        <v>241</v>
      </c>
      <c r="H94" s="5">
        <v>46183.686192129629</v>
      </c>
      <c r="I94" s="5">
        <v>46183.690358796295</v>
      </c>
      <c r="J94" s="4">
        <v>6</v>
      </c>
      <c r="K94" s="4" t="s">
        <v>54</v>
      </c>
      <c r="L94" s="4" t="s">
        <v>243</v>
      </c>
    </row>
    <row r="95" spans="1:12">
      <c r="A95" s="4">
        <v>22</v>
      </c>
      <c r="B95" s="4" t="s">
        <v>132</v>
      </c>
      <c r="C95" s="4" t="s">
        <v>131</v>
      </c>
      <c r="D95" s="4" t="s">
        <v>25</v>
      </c>
      <c r="E95" s="4" t="s">
        <v>64</v>
      </c>
      <c r="F95" s="4">
        <v>3</v>
      </c>
      <c r="G95" s="4" t="s">
        <v>54</v>
      </c>
      <c r="H95" s="5">
        <v>46183.690358796295</v>
      </c>
      <c r="I95" s="5"/>
      <c r="J95" s="4">
        <v>0</v>
      </c>
      <c r="K95" s="4"/>
      <c r="L95" s="4" t="s">
        <v>245</v>
      </c>
    </row>
    <row r="96" spans="1:12">
      <c r="A96" s="4">
        <v>23</v>
      </c>
      <c r="B96" s="4" t="s">
        <v>135</v>
      </c>
      <c r="C96" s="4" t="s">
        <v>134</v>
      </c>
      <c r="D96" s="4" t="s">
        <v>21</v>
      </c>
      <c r="E96" s="4" t="s">
        <v>51</v>
      </c>
      <c r="F96" s="4">
        <v>1</v>
      </c>
      <c r="G96" s="4" t="s">
        <v>238</v>
      </c>
      <c r="H96" s="5">
        <v>46183.698923611111</v>
      </c>
      <c r="I96" s="5">
        <v>46183.701006944444</v>
      </c>
      <c r="J96" s="4">
        <v>3</v>
      </c>
      <c r="K96" s="4" t="s">
        <v>239</v>
      </c>
      <c r="L96" s="4" t="s">
        <v>240</v>
      </c>
    </row>
    <row r="97" spans="1:12" ht="28.5">
      <c r="A97" s="4">
        <v>23</v>
      </c>
      <c r="B97" s="4" t="s">
        <v>135</v>
      </c>
      <c r="C97" s="4" t="s">
        <v>134</v>
      </c>
      <c r="D97" s="4" t="s">
        <v>21</v>
      </c>
      <c r="E97" s="4" t="s">
        <v>51</v>
      </c>
      <c r="F97" s="4">
        <v>2</v>
      </c>
      <c r="G97" s="4" t="s">
        <v>239</v>
      </c>
      <c r="H97" s="5">
        <v>46183.701006944444</v>
      </c>
      <c r="I97" s="5">
        <v>46183.703090277777</v>
      </c>
      <c r="J97" s="4">
        <v>3</v>
      </c>
      <c r="K97" s="4" t="s">
        <v>241</v>
      </c>
      <c r="L97" s="4" t="s">
        <v>242</v>
      </c>
    </row>
    <row r="98" spans="1:12">
      <c r="A98" s="4">
        <v>23</v>
      </c>
      <c r="B98" s="4" t="s">
        <v>135</v>
      </c>
      <c r="C98" s="4" t="s">
        <v>134</v>
      </c>
      <c r="D98" s="4" t="s">
        <v>21</v>
      </c>
      <c r="E98" s="4" t="s">
        <v>51</v>
      </c>
      <c r="F98" s="4">
        <v>3</v>
      </c>
      <c r="G98" s="4" t="s">
        <v>241</v>
      </c>
      <c r="H98" s="5">
        <v>46183.703090277777</v>
      </c>
      <c r="I98" s="5">
        <v>46183.710729166669</v>
      </c>
      <c r="J98" s="4">
        <v>11</v>
      </c>
      <c r="K98" s="4" t="s">
        <v>53</v>
      </c>
      <c r="L98" s="4" t="s">
        <v>243</v>
      </c>
    </row>
    <row r="99" spans="1:12" ht="28.5">
      <c r="A99" s="4">
        <v>23</v>
      </c>
      <c r="B99" s="4" t="s">
        <v>135</v>
      </c>
      <c r="C99" s="4" t="s">
        <v>134</v>
      </c>
      <c r="D99" s="4" t="s">
        <v>21</v>
      </c>
      <c r="E99" s="4" t="s">
        <v>51</v>
      </c>
      <c r="F99" s="4">
        <v>4</v>
      </c>
      <c r="G99" s="4" t="s">
        <v>53</v>
      </c>
      <c r="H99" s="5">
        <v>46183.710729166669</v>
      </c>
      <c r="I99" s="5">
        <v>46183.718368055554</v>
      </c>
      <c r="J99" s="4">
        <v>11</v>
      </c>
      <c r="K99" s="4" t="s">
        <v>54</v>
      </c>
      <c r="L99" s="4" t="s">
        <v>244</v>
      </c>
    </row>
    <row r="100" spans="1:12">
      <c r="A100" s="4">
        <v>23</v>
      </c>
      <c r="B100" s="4" t="s">
        <v>135</v>
      </c>
      <c r="C100" s="4" t="s">
        <v>134</v>
      </c>
      <c r="D100" s="4" t="s">
        <v>21</v>
      </c>
      <c r="E100" s="4" t="s">
        <v>51</v>
      </c>
      <c r="F100" s="4">
        <v>5</v>
      </c>
      <c r="G100" s="4" t="s">
        <v>54</v>
      </c>
      <c r="H100" s="5">
        <v>46183.718368055554</v>
      </c>
      <c r="I100" s="5"/>
      <c r="J100" s="4">
        <v>0</v>
      </c>
      <c r="K100" s="4"/>
      <c r="L100" s="4" t="s">
        <v>245</v>
      </c>
    </row>
    <row r="101" spans="1:12">
      <c r="A101" s="4">
        <v>24</v>
      </c>
      <c r="B101" s="4" t="s">
        <v>139</v>
      </c>
      <c r="C101" s="4" t="s">
        <v>138</v>
      </c>
      <c r="D101" s="4" t="s">
        <v>22</v>
      </c>
      <c r="E101" s="4" t="s">
        <v>64</v>
      </c>
      <c r="F101" s="4">
        <v>1</v>
      </c>
      <c r="G101" s="4" t="s">
        <v>238</v>
      </c>
      <c r="H101" s="5">
        <v>46184.637372685182</v>
      </c>
      <c r="I101" s="5">
        <v>46184.638761574075</v>
      </c>
      <c r="J101" s="4">
        <v>2</v>
      </c>
      <c r="K101" s="4" t="s">
        <v>241</v>
      </c>
      <c r="L101" s="4" t="s">
        <v>240</v>
      </c>
    </row>
    <row r="102" spans="1:12">
      <c r="A102" s="4">
        <v>24</v>
      </c>
      <c r="B102" s="4" t="s">
        <v>139</v>
      </c>
      <c r="C102" s="4" t="s">
        <v>138</v>
      </c>
      <c r="D102" s="4" t="s">
        <v>22</v>
      </c>
      <c r="E102" s="4" t="s">
        <v>64</v>
      </c>
      <c r="F102" s="4">
        <v>2</v>
      </c>
      <c r="G102" s="4" t="s">
        <v>241</v>
      </c>
      <c r="H102" s="5">
        <v>46184.638761574075</v>
      </c>
      <c r="I102" s="5">
        <v>46184.647094907406</v>
      </c>
      <c r="J102" s="4">
        <v>12</v>
      </c>
      <c r="K102" s="4" t="s">
        <v>53</v>
      </c>
      <c r="L102" s="4" t="s">
        <v>243</v>
      </c>
    </row>
    <row r="103" spans="1:12" ht="28.5">
      <c r="A103" s="4">
        <v>24</v>
      </c>
      <c r="B103" s="4" t="s">
        <v>139</v>
      </c>
      <c r="C103" s="4" t="s">
        <v>138</v>
      </c>
      <c r="D103" s="4" t="s">
        <v>22</v>
      </c>
      <c r="E103" s="4" t="s">
        <v>64</v>
      </c>
      <c r="F103" s="4">
        <v>3</v>
      </c>
      <c r="G103" s="4" t="s">
        <v>53</v>
      </c>
      <c r="H103" s="5">
        <v>46184.647094907406</v>
      </c>
      <c r="I103" s="5">
        <v>46184.649872685186</v>
      </c>
      <c r="J103" s="4">
        <v>4</v>
      </c>
      <c r="K103" s="4" t="s">
        <v>54</v>
      </c>
      <c r="L103" s="4" t="s">
        <v>244</v>
      </c>
    </row>
    <row r="104" spans="1:12">
      <c r="A104" s="4">
        <v>24</v>
      </c>
      <c r="B104" s="4" t="s">
        <v>139</v>
      </c>
      <c r="C104" s="4" t="s">
        <v>138</v>
      </c>
      <c r="D104" s="4" t="s">
        <v>22</v>
      </c>
      <c r="E104" s="4" t="s">
        <v>64</v>
      </c>
      <c r="F104" s="4">
        <v>4</v>
      </c>
      <c r="G104" s="4" t="s">
        <v>54</v>
      </c>
      <c r="H104" s="5">
        <v>46184.649872685186</v>
      </c>
      <c r="I104" s="5"/>
      <c r="J104" s="4">
        <v>0</v>
      </c>
      <c r="K104" s="4"/>
      <c r="L104" s="4" t="s">
        <v>245</v>
      </c>
    </row>
    <row r="105" spans="1:12">
      <c r="A105" s="4">
        <v>25</v>
      </c>
      <c r="B105" s="4" t="s">
        <v>142</v>
      </c>
      <c r="C105" s="4" t="s">
        <v>141</v>
      </c>
      <c r="D105" s="4" t="s">
        <v>21</v>
      </c>
      <c r="E105" s="4" t="s">
        <v>51</v>
      </c>
      <c r="F105" s="4">
        <v>1</v>
      </c>
      <c r="G105" s="4" t="s">
        <v>238</v>
      </c>
      <c r="H105" s="5">
        <v>46184.641041666669</v>
      </c>
      <c r="I105" s="5">
        <v>46184.642430555556</v>
      </c>
      <c r="J105" s="4">
        <v>2</v>
      </c>
      <c r="K105" s="4" t="s">
        <v>239</v>
      </c>
      <c r="L105" s="4" t="s">
        <v>240</v>
      </c>
    </row>
    <row r="106" spans="1:12" ht="28.5">
      <c r="A106" s="4">
        <v>25</v>
      </c>
      <c r="B106" s="4" t="s">
        <v>142</v>
      </c>
      <c r="C106" s="4" t="s">
        <v>141</v>
      </c>
      <c r="D106" s="4" t="s">
        <v>21</v>
      </c>
      <c r="E106" s="4" t="s">
        <v>51</v>
      </c>
      <c r="F106" s="4">
        <v>2</v>
      </c>
      <c r="G106" s="4" t="s">
        <v>239</v>
      </c>
      <c r="H106" s="5">
        <v>46184.642430555556</v>
      </c>
      <c r="I106" s="5">
        <v>46184.643819444442</v>
      </c>
      <c r="J106" s="4">
        <v>2</v>
      </c>
      <c r="K106" s="4" t="s">
        <v>241</v>
      </c>
      <c r="L106" s="4" t="s">
        <v>242</v>
      </c>
    </row>
    <row r="107" spans="1:12">
      <c r="A107" s="4">
        <v>25</v>
      </c>
      <c r="B107" s="4" t="s">
        <v>142</v>
      </c>
      <c r="C107" s="4" t="s">
        <v>141</v>
      </c>
      <c r="D107" s="4" t="s">
        <v>21</v>
      </c>
      <c r="E107" s="4" t="s">
        <v>51</v>
      </c>
      <c r="F107" s="4">
        <v>3</v>
      </c>
      <c r="G107" s="4" t="s">
        <v>241</v>
      </c>
      <c r="H107" s="5">
        <v>46184.643819444442</v>
      </c>
      <c r="I107" s="5">
        <v>46184.655624999999</v>
      </c>
      <c r="J107" s="4">
        <v>17</v>
      </c>
      <c r="K107" s="4" t="s">
        <v>53</v>
      </c>
      <c r="L107" s="4" t="s">
        <v>243</v>
      </c>
    </row>
    <row r="108" spans="1:12" ht="28.5">
      <c r="A108" s="4">
        <v>25</v>
      </c>
      <c r="B108" s="4" t="s">
        <v>142</v>
      </c>
      <c r="C108" s="4" t="s">
        <v>141</v>
      </c>
      <c r="D108" s="4" t="s">
        <v>21</v>
      </c>
      <c r="E108" s="4" t="s">
        <v>51</v>
      </c>
      <c r="F108" s="4">
        <v>4</v>
      </c>
      <c r="G108" s="4" t="s">
        <v>53</v>
      </c>
      <c r="H108" s="5">
        <v>46184.655624999999</v>
      </c>
      <c r="I108" s="5">
        <v>46184.661874999998</v>
      </c>
      <c r="J108" s="4">
        <v>9</v>
      </c>
      <c r="K108" s="4" t="s">
        <v>54</v>
      </c>
      <c r="L108" s="4" t="s">
        <v>244</v>
      </c>
    </row>
    <row r="109" spans="1:12">
      <c r="A109" s="4">
        <v>25</v>
      </c>
      <c r="B109" s="4" t="s">
        <v>142</v>
      </c>
      <c r="C109" s="4" t="s">
        <v>141</v>
      </c>
      <c r="D109" s="4" t="s">
        <v>21</v>
      </c>
      <c r="E109" s="4" t="s">
        <v>51</v>
      </c>
      <c r="F109" s="4">
        <v>5</v>
      </c>
      <c r="G109" s="4" t="s">
        <v>54</v>
      </c>
      <c r="H109" s="5">
        <v>46184.661874999998</v>
      </c>
      <c r="I109" s="5"/>
      <c r="J109" s="4">
        <v>0</v>
      </c>
      <c r="K109" s="4"/>
      <c r="L109" s="4" t="s">
        <v>245</v>
      </c>
    </row>
    <row r="110" spans="1:12">
      <c r="A110" s="4">
        <v>26</v>
      </c>
      <c r="B110" s="4" t="s">
        <v>146</v>
      </c>
      <c r="C110" s="4" t="s">
        <v>145</v>
      </c>
      <c r="D110" s="4" t="s">
        <v>22</v>
      </c>
      <c r="E110" s="4" t="s">
        <v>64</v>
      </c>
      <c r="F110" s="4">
        <v>1</v>
      </c>
      <c r="G110" s="4" t="s">
        <v>238</v>
      </c>
      <c r="H110" s="5">
        <v>46184.652129629627</v>
      </c>
      <c r="I110" s="5">
        <v>46184.65351851852</v>
      </c>
      <c r="J110" s="4">
        <v>2</v>
      </c>
      <c r="K110" s="4" t="s">
        <v>241</v>
      </c>
      <c r="L110" s="4" t="s">
        <v>240</v>
      </c>
    </row>
    <row r="111" spans="1:12">
      <c r="A111" s="4">
        <v>26</v>
      </c>
      <c r="B111" s="4" t="s">
        <v>146</v>
      </c>
      <c r="C111" s="4" t="s">
        <v>145</v>
      </c>
      <c r="D111" s="4" t="s">
        <v>22</v>
      </c>
      <c r="E111" s="4" t="s">
        <v>64</v>
      </c>
      <c r="F111" s="4">
        <v>2</v>
      </c>
      <c r="G111" s="4" t="s">
        <v>241</v>
      </c>
      <c r="H111" s="5">
        <v>46184.65351851852</v>
      </c>
      <c r="I111" s="5">
        <v>46184.659768518519</v>
      </c>
      <c r="J111" s="4">
        <v>9</v>
      </c>
      <c r="K111" s="4" t="s">
        <v>53</v>
      </c>
      <c r="L111" s="4" t="s">
        <v>243</v>
      </c>
    </row>
    <row r="112" spans="1:12" ht="28.5">
      <c r="A112" s="4">
        <v>26</v>
      </c>
      <c r="B112" s="4" t="s">
        <v>146</v>
      </c>
      <c r="C112" s="4" t="s">
        <v>145</v>
      </c>
      <c r="D112" s="4" t="s">
        <v>22</v>
      </c>
      <c r="E112" s="4" t="s">
        <v>64</v>
      </c>
      <c r="F112" s="4">
        <v>3</v>
      </c>
      <c r="G112" s="4" t="s">
        <v>53</v>
      </c>
      <c r="H112" s="5">
        <v>46184.659768518519</v>
      </c>
      <c r="I112" s="5">
        <v>46184.669490740744</v>
      </c>
      <c r="J112" s="4">
        <v>14</v>
      </c>
      <c r="K112" s="4" t="s">
        <v>54</v>
      </c>
      <c r="L112" s="4" t="s">
        <v>244</v>
      </c>
    </row>
    <row r="113" spans="1:12">
      <c r="A113" s="4">
        <v>26</v>
      </c>
      <c r="B113" s="4" t="s">
        <v>146</v>
      </c>
      <c r="C113" s="4" t="s">
        <v>145</v>
      </c>
      <c r="D113" s="4" t="s">
        <v>22</v>
      </c>
      <c r="E113" s="4" t="s">
        <v>64</v>
      </c>
      <c r="F113" s="4">
        <v>4</v>
      </c>
      <c r="G113" s="4" t="s">
        <v>54</v>
      </c>
      <c r="H113" s="5">
        <v>46184.669490740744</v>
      </c>
      <c r="I113" s="5"/>
      <c r="J113" s="4">
        <v>0</v>
      </c>
      <c r="K113" s="4"/>
      <c r="L113" s="4" t="s">
        <v>245</v>
      </c>
    </row>
    <row r="114" spans="1:12">
      <c r="A114" s="4">
        <v>27</v>
      </c>
      <c r="B114" s="4" t="s">
        <v>149</v>
      </c>
      <c r="C114" s="4" t="s">
        <v>148</v>
      </c>
      <c r="D114" s="4" t="s">
        <v>22</v>
      </c>
      <c r="E114" s="4" t="s">
        <v>64</v>
      </c>
      <c r="F114" s="4">
        <v>1</v>
      </c>
      <c r="G114" s="4" t="s">
        <v>238</v>
      </c>
      <c r="H114" s="5">
        <v>46184.668391203704</v>
      </c>
      <c r="I114" s="5">
        <v>46184.670474537037</v>
      </c>
      <c r="J114" s="4">
        <v>3</v>
      </c>
      <c r="K114" s="4" t="s">
        <v>241</v>
      </c>
      <c r="L114" s="4" t="s">
        <v>240</v>
      </c>
    </row>
    <row r="115" spans="1:12">
      <c r="A115" s="4">
        <v>27</v>
      </c>
      <c r="B115" s="4" t="s">
        <v>149</v>
      </c>
      <c r="C115" s="4" t="s">
        <v>148</v>
      </c>
      <c r="D115" s="4" t="s">
        <v>22</v>
      </c>
      <c r="E115" s="4" t="s">
        <v>64</v>
      </c>
      <c r="F115" s="4">
        <v>2</v>
      </c>
      <c r="G115" s="4" t="s">
        <v>241</v>
      </c>
      <c r="H115" s="5">
        <v>46184.670474537037</v>
      </c>
      <c r="I115" s="5">
        <v>46184.678113425929</v>
      </c>
      <c r="J115" s="4">
        <v>11</v>
      </c>
      <c r="K115" s="4" t="s">
        <v>53</v>
      </c>
      <c r="L115" s="4" t="s">
        <v>243</v>
      </c>
    </row>
    <row r="116" spans="1:12" ht="28.5">
      <c r="A116" s="4">
        <v>27</v>
      </c>
      <c r="B116" s="4" t="s">
        <v>149</v>
      </c>
      <c r="C116" s="4" t="s">
        <v>148</v>
      </c>
      <c r="D116" s="4" t="s">
        <v>22</v>
      </c>
      <c r="E116" s="4" t="s">
        <v>64</v>
      </c>
      <c r="F116" s="4">
        <v>3</v>
      </c>
      <c r="G116" s="4" t="s">
        <v>53</v>
      </c>
      <c r="H116" s="5">
        <v>46184.678113425929</v>
      </c>
      <c r="I116" s="5">
        <v>46184.682974537034</v>
      </c>
      <c r="J116" s="4">
        <v>7</v>
      </c>
      <c r="K116" s="4" t="s">
        <v>54</v>
      </c>
      <c r="L116" s="4" t="s">
        <v>244</v>
      </c>
    </row>
    <row r="117" spans="1:12">
      <c r="A117" s="4">
        <v>27</v>
      </c>
      <c r="B117" s="4" t="s">
        <v>149</v>
      </c>
      <c r="C117" s="4" t="s">
        <v>148</v>
      </c>
      <c r="D117" s="4" t="s">
        <v>22</v>
      </c>
      <c r="E117" s="4" t="s">
        <v>64</v>
      </c>
      <c r="F117" s="4">
        <v>4</v>
      </c>
      <c r="G117" s="4" t="s">
        <v>54</v>
      </c>
      <c r="H117" s="5">
        <v>46184.682974537034</v>
      </c>
      <c r="I117" s="5"/>
      <c r="J117" s="4">
        <v>0</v>
      </c>
      <c r="K117" s="4"/>
      <c r="L117" s="4" t="s">
        <v>245</v>
      </c>
    </row>
    <row r="118" spans="1:12">
      <c r="A118" s="4">
        <v>28</v>
      </c>
      <c r="B118" s="4" t="s">
        <v>152</v>
      </c>
      <c r="C118" s="4" t="s">
        <v>151</v>
      </c>
      <c r="D118" s="4" t="s">
        <v>21</v>
      </c>
      <c r="E118" s="4" t="s">
        <v>51</v>
      </c>
      <c r="F118" s="4">
        <v>1</v>
      </c>
      <c r="G118" s="4" t="s">
        <v>238</v>
      </c>
      <c r="H118" s="5">
        <v>46184.674363425926</v>
      </c>
      <c r="I118" s="5">
        <v>46184.676446759258</v>
      </c>
      <c r="J118" s="4">
        <v>3</v>
      </c>
      <c r="K118" s="4" t="s">
        <v>239</v>
      </c>
      <c r="L118" s="4" t="s">
        <v>240</v>
      </c>
    </row>
    <row r="119" spans="1:12" ht="28.5">
      <c r="A119" s="4">
        <v>28</v>
      </c>
      <c r="B119" s="4" t="s">
        <v>152</v>
      </c>
      <c r="C119" s="4" t="s">
        <v>151</v>
      </c>
      <c r="D119" s="4" t="s">
        <v>21</v>
      </c>
      <c r="E119" s="4" t="s">
        <v>51</v>
      </c>
      <c r="F119" s="4">
        <v>2</v>
      </c>
      <c r="G119" s="4" t="s">
        <v>239</v>
      </c>
      <c r="H119" s="5">
        <v>46184.676446759258</v>
      </c>
      <c r="I119" s="5">
        <v>46184.677835648145</v>
      </c>
      <c r="J119" s="4">
        <v>2</v>
      </c>
      <c r="K119" s="4" t="s">
        <v>241</v>
      </c>
      <c r="L119" s="4" t="s">
        <v>242</v>
      </c>
    </row>
    <row r="120" spans="1:12">
      <c r="A120" s="4">
        <v>28</v>
      </c>
      <c r="B120" s="4" t="s">
        <v>152</v>
      </c>
      <c r="C120" s="4" t="s">
        <v>151</v>
      </c>
      <c r="D120" s="4" t="s">
        <v>21</v>
      </c>
      <c r="E120" s="4" t="s">
        <v>51</v>
      </c>
      <c r="F120" s="4">
        <v>3</v>
      </c>
      <c r="G120" s="4" t="s">
        <v>241</v>
      </c>
      <c r="H120" s="5">
        <v>46184.677835648145</v>
      </c>
      <c r="I120" s="5">
        <v>46184.688252314816</v>
      </c>
      <c r="J120" s="4">
        <v>15</v>
      </c>
      <c r="K120" s="4" t="s">
        <v>53</v>
      </c>
      <c r="L120" s="4" t="s">
        <v>243</v>
      </c>
    </row>
    <row r="121" spans="1:12" ht="28.5">
      <c r="A121" s="4">
        <v>28</v>
      </c>
      <c r="B121" s="4" t="s">
        <v>152</v>
      </c>
      <c r="C121" s="4" t="s">
        <v>151</v>
      </c>
      <c r="D121" s="4" t="s">
        <v>21</v>
      </c>
      <c r="E121" s="4" t="s">
        <v>51</v>
      </c>
      <c r="F121" s="4">
        <v>4</v>
      </c>
      <c r="G121" s="4" t="s">
        <v>53</v>
      </c>
      <c r="H121" s="5">
        <v>46184.688252314816</v>
      </c>
      <c r="I121" s="5">
        <v>46184.696585648147</v>
      </c>
      <c r="J121" s="4">
        <v>12</v>
      </c>
      <c r="K121" s="4" t="s">
        <v>54</v>
      </c>
      <c r="L121" s="4" t="s">
        <v>244</v>
      </c>
    </row>
    <row r="122" spans="1:12">
      <c r="A122" s="4">
        <v>28</v>
      </c>
      <c r="B122" s="4" t="s">
        <v>152</v>
      </c>
      <c r="C122" s="4" t="s">
        <v>151</v>
      </c>
      <c r="D122" s="4" t="s">
        <v>21</v>
      </c>
      <c r="E122" s="4" t="s">
        <v>51</v>
      </c>
      <c r="F122" s="4">
        <v>5</v>
      </c>
      <c r="G122" s="4" t="s">
        <v>54</v>
      </c>
      <c r="H122" s="5">
        <v>46184.696585648147</v>
      </c>
      <c r="I122" s="5"/>
      <c r="J122" s="4">
        <v>0</v>
      </c>
      <c r="K122" s="4"/>
      <c r="L122" s="4" t="s">
        <v>245</v>
      </c>
    </row>
    <row r="123" spans="1:12">
      <c r="A123" s="4">
        <v>29</v>
      </c>
      <c r="B123" s="4" t="s">
        <v>156</v>
      </c>
      <c r="C123" s="4" t="s">
        <v>155</v>
      </c>
      <c r="D123" s="4" t="s">
        <v>21</v>
      </c>
      <c r="E123" s="4" t="s">
        <v>64</v>
      </c>
      <c r="F123" s="4">
        <v>1</v>
      </c>
      <c r="G123" s="4" t="s">
        <v>238</v>
      </c>
      <c r="H123" s="5">
        <v>46184.679861111108</v>
      </c>
      <c r="I123" s="5">
        <v>46184.681944444441</v>
      </c>
      <c r="J123" s="4">
        <v>3</v>
      </c>
      <c r="K123" s="4" t="s">
        <v>241</v>
      </c>
      <c r="L123" s="4" t="s">
        <v>240</v>
      </c>
    </row>
    <row r="124" spans="1:12">
      <c r="A124" s="4">
        <v>29</v>
      </c>
      <c r="B124" s="4" t="s">
        <v>156</v>
      </c>
      <c r="C124" s="4" t="s">
        <v>155</v>
      </c>
      <c r="D124" s="4" t="s">
        <v>21</v>
      </c>
      <c r="E124" s="4" t="s">
        <v>64</v>
      </c>
      <c r="F124" s="4">
        <v>2</v>
      </c>
      <c r="G124" s="4" t="s">
        <v>241</v>
      </c>
      <c r="H124" s="5">
        <v>46184.681944444441</v>
      </c>
      <c r="I124" s="5">
        <v>46184.694444444445</v>
      </c>
      <c r="J124" s="4">
        <v>18</v>
      </c>
      <c r="K124" s="4" t="s">
        <v>53</v>
      </c>
      <c r="L124" s="4" t="s">
        <v>243</v>
      </c>
    </row>
    <row r="125" spans="1:12" ht="28.5">
      <c r="A125" s="4">
        <v>29</v>
      </c>
      <c r="B125" s="4" t="s">
        <v>156</v>
      </c>
      <c r="C125" s="4" t="s">
        <v>155</v>
      </c>
      <c r="D125" s="4" t="s">
        <v>21</v>
      </c>
      <c r="E125" s="4" t="s">
        <v>64</v>
      </c>
      <c r="F125" s="4">
        <v>3</v>
      </c>
      <c r="G125" s="4" t="s">
        <v>53</v>
      </c>
      <c r="H125" s="5">
        <v>46184.694444444445</v>
      </c>
      <c r="I125" s="5">
        <v>46184.697916666664</v>
      </c>
      <c r="J125" s="4">
        <v>5</v>
      </c>
      <c r="K125" s="4" t="s">
        <v>54</v>
      </c>
      <c r="L125" s="4" t="s">
        <v>244</v>
      </c>
    </row>
    <row r="126" spans="1:12">
      <c r="A126" s="4">
        <v>29</v>
      </c>
      <c r="B126" s="4" t="s">
        <v>156</v>
      </c>
      <c r="C126" s="4" t="s">
        <v>155</v>
      </c>
      <c r="D126" s="4" t="s">
        <v>21</v>
      </c>
      <c r="E126" s="4" t="s">
        <v>64</v>
      </c>
      <c r="F126" s="4">
        <v>4</v>
      </c>
      <c r="G126" s="4" t="s">
        <v>54</v>
      </c>
      <c r="H126" s="5">
        <v>46184.697916666664</v>
      </c>
      <c r="I126" s="5"/>
      <c r="J126" s="4">
        <v>0</v>
      </c>
      <c r="K126" s="4"/>
      <c r="L126" s="4" t="s">
        <v>245</v>
      </c>
    </row>
    <row r="127" spans="1:12">
      <c r="A127" s="4">
        <v>30</v>
      </c>
      <c r="B127" s="4" t="s">
        <v>159</v>
      </c>
      <c r="C127" s="4" t="s">
        <v>158</v>
      </c>
      <c r="D127" s="4" t="s">
        <v>21</v>
      </c>
      <c r="E127" s="4" t="s">
        <v>51</v>
      </c>
      <c r="F127" s="4">
        <v>1</v>
      </c>
      <c r="G127" s="4" t="s">
        <v>238</v>
      </c>
      <c r="H127" s="5">
        <v>46184.680486111109</v>
      </c>
      <c r="I127" s="5">
        <v>46184.682569444441</v>
      </c>
      <c r="J127" s="4">
        <v>3</v>
      </c>
      <c r="K127" s="4" t="s">
        <v>239</v>
      </c>
      <c r="L127" s="4" t="s">
        <v>240</v>
      </c>
    </row>
    <row r="128" spans="1:12" ht="28.5">
      <c r="A128" s="4">
        <v>30</v>
      </c>
      <c r="B128" s="4" t="s">
        <v>159</v>
      </c>
      <c r="C128" s="4" t="s">
        <v>158</v>
      </c>
      <c r="D128" s="4" t="s">
        <v>21</v>
      </c>
      <c r="E128" s="4" t="s">
        <v>51</v>
      </c>
      <c r="F128" s="4">
        <v>2</v>
      </c>
      <c r="G128" s="4" t="s">
        <v>239</v>
      </c>
      <c r="H128" s="5">
        <v>46184.682569444441</v>
      </c>
      <c r="I128" s="5">
        <v>46184.683263888888</v>
      </c>
      <c r="J128" s="4">
        <v>1</v>
      </c>
      <c r="K128" s="4" t="s">
        <v>241</v>
      </c>
      <c r="L128" s="4" t="s">
        <v>242</v>
      </c>
    </row>
    <row r="129" spans="1:12">
      <c r="A129" s="4">
        <v>30</v>
      </c>
      <c r="B129" s="4" t="s">
        <v>159</v>
      </c>
      <c r="C129" s="4" t="s">
        <v>158</v>
      </c>
      <c r="D129" s="4" t="s">
        <v>21</v>
      </c>
      <c r="E129" s="4" t="s">
        <v>51</v>
      </c>
      <c r="F129" s="4">
        <v>3</v>
      </c>
      <c r="G129" s="4" t="s">
        <v>241</v>
      </c>
      <c r="H129" s="5">
        <v>46184.683263888888</v>
      </c>
      <c r="I129" s="5">
        <v>46184.690208333333</v>
      </c>
      <c r="J129" s="4">
        <v>10</v>
      </c>
      <c r="K129" s="4" t="s">
        <v>53</v>
      </c>
      <c r="L129" s="4" t="s">
        <v>243</v>
      </c>
    </row>
    <row r="130" spans="1:12" ht="28.5">
      <c r="A130" s="4">
        <v>30</v>
      </c>
      <c r="B130" s="4" t="s">
        <v>159</v>
      </c>
      <c r="C130" s="4" t="s">
        <v>158</v>
      </c>
      <c r="D130" s="4" t="s">
        <v>21</v>
      </c>
      <c r="E130" s="4" t="s">
        <v>51</v>
      </c>
      <c r="F130" s="4">
        <v>4</v>
      </c>
      <c r="G130" s="4" t="s">
        <v>53</v>
      </c>
      <c r="H130" s="5">
        <v>46184.690208333333</v>
      </c>
      <c r="I130" s="5">
        <v>46184.697152777779</v>
      </c>
      <c r="J130" s="4">
        <v>10</v>
      </c>
      <c r="K130" s="4" t="s">
        <v>54</v>
      </c>
      <c r="L130" s="4" t="s">
        <v>244</v>
      </c>
    </row>
    <row r="131" spans="1:12">
      <c r="A131" s="4">
        <v>30</v>
      </c>
      <c r="B131" s="4" t="s">
        <v>159</v>
      </c>
      <c r="C131" s="4" t="s">
        <v>158</v>
      </c>
      <c r="D131" s="4" t="s">
        <v>21</v>
      </c>
      <c r="E131" s="4" t="s">
        <v>51</v>
      </c>
      <c r="F131" s="4">
        <v>5</v>
      </c>
      <c r="G131" s="4" t="s">
        <v>54</v>
      </c>
      <c r="H131" s="5">
        <v>46184.697152777779</v>
      </c>
      <c r="I131" s="5"/>
      <c r="J131" s="4">
        <v>0</v>
      </c>
      <c r="K131" s="4"/>
      <c r="L131" s="4" t="s">
        <v>245</v>
      </c>
    </row>
    <row r="132" spans="1:12">
      <c r="A132" s="4">
        <v>31</v>
      </c>
      <c r="B132" s="4" t="s">
        <v>163</v>
      </c>
      <c r="C132" s="4" t="s">
        <v>162</v>
      </c>
      <c r="D132" s="4" t="s">
        <v>23</v>
      </c>
      <c r="E132" s="4" t="s">
        <v>51</v>
      </c>
      <c r="F132" s="4">
        <v>1</v>
      </c>
      <c r="G132" s="4" t="s">
        <v>238</v>
      </c>
      <c r="H132" s="5">
        <v>46184.691087962965</v>
      </c>
      <c r="I132" s="5">
        <v>46184.693865740737</v>
      </c>
      <c r="J132" s="4">
        <v>4</v>
      </c>
      <c r="K132" s="4" t="s">
        <v>239</v>
      </c>
      <c r="L132" s="4" t="s">
        <v>240</v>
      </c>
    </row>
    <row r="133" spans="1:12" ht="28.5">
      <c r="A133" s="4">
        <v>31</v>
      </c>
      <c r="B133" s="4" t="s">
        <v>163</v>
      </c>
      <c r="C133" s="4" t="s">
        <v>162</v>
      </c>
      <c r="D133" s="4" t="s">
        <v>23</v>
      </c>
      <c r="E133" s="4" t="s">
        <v>51</v>
      </c>
      <c r="F133" s="4">
        <v>2</v>
      </c>
      <c r="G133" s="4" t="s">
        <v>239</v>
      </c>
      <c r="H133" s="5">
        <v>46184.693865740737</v>
      </c>
      <c r="I133" s="5">
        <v>46184.695254629631</v>
      </c>
      <c r="J133" s="4">
        <v>2</v>
      </c>
      <c r="K133" s="4" t="s">
        <v>241</v>
      </c>
      <c r="L133" s="4" t="s">
        <v>242</v>
      </c>
    </row>
    <row r="134" spans="1:12">
      <c r="A134" s="4">
        <v>31</v>
      </c>
      <c r="B134" s="4" t="s">
        <v>163</v>
      </c>
      <c r="C134" s="4" t="s">
        <v>162</v>
      </c>
      <c r="D134" s="4" t="s">
        <v>23</v>
      </c>
      <c r="E134" s="4" t="s">
        <v>51</v>
      </c>
      <c r="F134" s="4">
        <v>3</v>
      </c>
      <c r="G134" s="4" t="s">
        <v>241</v>
      </c>
      <c r="H134" s="5">
        <v>46184.695254629631</v>
      </c>
      <c r="I134" s="5">
        <v>46184.707754629628</v>
      </c>
      <c r="J134" s="4">
        <v>18</v>
      </c>
      <c r="K134" s="4" t="s">
        <v>53</v>
      </c>
      <c r="L134" s="4" t="s">
        <v>243</v>
      </c>
    </row>
    <row r="135" spans="1:12" ht="28.5">
      <c r="A135" s="4">
        <v>31</v>
      </c>
      <c r="B135" s="4" t="s">
        <v>163</v>
      </c>
      <c r="C135" s="4" t="s">
        <v>162</v>
      </c>
      <c r="D135" s="4" t="s">
        <v>23</v>
      </c>
      <c r="E135" s="4" t="s">
        <v>51</v>
      </c>
      <c r="F135" s="4">
        <v>4</v>
      </c>
      <c r="G135" s="4" t="s">
        <v>53</v>
      </c>
      <c r="H135" s="5">
        <v>46184.707754629628</v>
      </c>
      <c r="I135" s="5">
        <v>46184.718171296299</v>
      </c>
      <c r="J135" s="4">
        <v>15</v>
      </c>
      <c r="K135" s="4" t="s">
        <v>54</v>
      </c>
      <c r="L135" s="4" t="s">
        <v>244</v>
      </c>
    </row>
    <row r="136" spans="1:12">
      <c r="A136" s="4">
        <v>31</v>
      </c>
      <c r="B136" s="4" t="s">
        <v>163</v>
      </c>
      <c r="C136" s="4" t="s">
        <v>162</v>
      </c>
      <c r="D136" s="4" t="s">
        <v>23</v>
      </c>
      <c r="E136" s="4" t="s">
        <v>51</v>
      </c>
      <c r="F136" s="4">
        <v>5</v>
      </c>
      <c r="G136" s="4" t="s">
        <v>54</v>
      </c>
      <c r="H136" s="5">
        <v>46184.718171296299</v>
      </c>
      <c r="I136" s="5"/>
      <c r="J136" s="4">
        <v>0</v>
      </c>
      <c r="K136" s="4"/>
      <c r="L136" s="4" t="s">
        <v>245</v>
      </c>
    </row>
    <row r="137" spans="1:12">
      <c r="A137" s="4">
        <v>32</v>
      </c>
      <c r="B137" s="4" t="s">
        <v>167</v>
      </c>
      <c r="C137" s="4" t="s">
        <v>166</v>
      </c>
      <c r="D137" s="4" t="s">
        <v>25</v>
      </c>
      <c r="E137" s="4" t="s">
        <v>64</v>
      </c>
      <c r="F137" s="4">
        <v>1</v>
      </c>
      <c r="G137" s="4" t="s">
        <v>238</v>
      </c>
      <c r="H137" s="5">
        <v>46184.692800925928</v>
      </c>
      <c r="I137" s="5">
        <v>46184.694189814814</v>
      </c>
      <c r="J137" s="4">
        <v>2</v>
      </c>
      <c r="K137" s="4" t="s">
        <v>241</v>
      </c>
      <c r="L137" s="4" t="s">
        <v>240</v>
      </c>
    </row>
    <row r="138" spans="1:12">
      <c r="A138" s="4">
        <v>32</v>
      </c>
      <c r="B138" s="4" t="s">
        <v>167</v>
      </c>
      <c r="C138" s="4" t="s">
        <v>166</v>
      </c>
      <c r="D138" s="4" t="s">
        <v>25</v>
      </c>
      <c r="E138" s="4" t="s">
        <v>64</v>
      </c>
      <c r="F138" s="4">
        <v>2</v>
      </c>
      <c r="G138" s="4" t="s">
        <v>241</v>
      </c>
      <c r="H138" s="5">
        <v>46184.694189814814</v>
      </c>
      <c r="I138" s="5">
        <v>46184.699745370373</v>
      </c>
      <c r="J138" s="4">
        <v>8</v>
      </c>
      <c r="K138" s="4" t="s">
        <v>54</v>
      </c>
      <c r="L138" s="4" t="s">
        <v>243</v>
      </c>
    </row>
    <row r="139" spans="1:12">
      <c r="A139" s="4">
        <v>32</v>
      </c>
      <c r="B139" s="4" t="s">
        <v>167</v>
      </c>
      <c r="C139" s="4" t="s">
        <v>166</v>
      </c>
      <c r="D139" s="4" t="s">
        <v>25</v>
      </c>
      <c r="E139" s="4" t="s">
        <v>64</v>
      </c>
      <c r="F139" s="4">
        <v>3</v>
      </c>
      <c r="G139" s="4" t="s">
        <v>54</v>
      </c>
      <c r="H139" s="5">
        <v>46184.699745370373</v>
      </c>
      <c r="I139" s="5"/>
      <c r="J139" s="4">
        <v>0</v>
      </c>
      <c r="K139" s="4"/>
      <c r="L139" s="4" t="s">
        <v>245</v>
      </c>
    </row>
    <row r="140" spans="1:12">
      <c r="A140" s="4">
        <v>33</v>
      </c>
      <c r="B140" s="4" t="s">
        <v>170</v>
      </c>
      <c r="C140" s="4" t="s">
        <v>169</v>
      </c>
      <c r="D140" s="4" t="s">
        <v>21</v>
      </c>
      <c r="E140" s="4" t="s">
        <v>64</v>
      </c>
      <c r="F140" s="4">
        <v>1</v>
      </c>
      <c r="G140" s="4" t="s">
        <v>238</v>
      </c>
      <c r="H140" s="5">
        <v>46184.693611111114</v>
      </c>
      <c r="I140" s="5">
        <v>46184.695</v>
      </c>
      <c r="J140" s="4">
        <v>2</v>
      </c>
      <c r="K140" s="4" t="s">
        <v>241</v>
      </c>
      <c r="L140" s="4" t="s">
        <v>240</v>
      </c>
    </row>
    <row r="141" spans="1:12">
      <c r="A141" s="4">
        <v>33</v>
      </c>
      <c r="B141" s="4" t="s">
        <v>170</v>
      </c>
      <c r="C141" s="4" t="s">
        <v>169</v>
      </c>
      <c r="D141" s="4" t="s">
        <v>21</v>
      </c>
      <c r="E141" s="4" t="s">
        <v>64</v>
      </c>
      <c r="F141" s="4">
        <v>2</v>
      </c>
      <c r="G141" s="4" t="s">
        <v>241</v>
      </c>
      <c r="H141" s="5">
        <v>46184.695</v>
      </c>
      <c r="I141" s="5">
        <v>46184.700555555559</v>
      </c>
      <c r="J141" s="4">
        <v>8</v>
      </c>
      <c r="K141" s="4" t="s">
        <v>53</v>
      </c>
      <c r="L141" s="4" t="s">
        <v>243</v>
      </c>
    </row>
    <row r="142" spans="1:12" ht="28.5">
      <c r="A142" s="4">
        <v>33</v>
      </c>
      <c r="B142" s="4" t="s">
        <v>170</v>
      </c>
      <c r="C142" s="4" t="s">
        <v>169</v>
      </c>
      <c r="D142" s="4" t="s">
        <v>21</v>
      </c>
      <c r="E142" s="4" t="s">
        <v>64</v>
      </c>
      <c r="F142" s="4">
        <v>3</v>
      </c>
      <c r="G142" s="4" t="s">
        <v>53</v>
      </c>
      <c r="H142" s="5">
        <v>46184.700555555559</v>
      </c>
      <c r="I142" s="5">
        <v>46184.709583333337</v>
      </c>
      <c r="J142" s="4">
        <v>13</v>
      </c>
      <c r="K142" s="4" t="s">
        <v>54</v>
      </c>
      <c r="L142" s="4" t="s">
        <v>244</v>
      </c>
    </row>
    <row r="143" spans="1:12">
      <c r="A143" s="4">
        <v>33</v>
      </c>
      <c r="B143" s="4" t="s">
        <v>170</v>
      </c>
      <c r="C143" s="4" t="s">
        <v>169</v>
      </c>
      <c r="D143" s="4" t="s">
        <v>21</v>
      </c>
      <c r="E143" s="4" t="s">
        <v>64</v>
      </c>
      <c r="F143" s="4">
        <v>4</v>
      </c>
      <c r="G143" s="4" t="s">
        <v>54</v>
      </c>
      <c r="H143" s="5">
        <v>46184.709583333337</v>
      </c>
      <c r="I143" s="5"/>
      <c r="J143" s="4">
        <v>0</v>
      </c>
      <c r="K143" s="4"/>
      <c r="L143" s="4" t="s">
        <v>245</v>
      </c>
    </row>
    <row r="144" spans="1:12">
      <c r="A144" s="4">
        <v>34</v>
      </c>
      <c r="B144" s="4" t="s">
        <v>173</v>
      </c>
      <c r="C144" s="4" t="s">
        <v>172</v>
      </c>
      <c r="D144" s="4" t="s">
        <v>23</v>
      </c>
      <c r="E144" s="4" t="s">
        <v>51</v>
      </c>
      <c r="F144" s="4">
        <v>1</v>
      </c>
      <c r="G144" s="4" t="s">
        <v>238</v>
      </c>
      <c r="H144" s="5">
        <v>46184.700069444443</v>
      </c>
      <c r="I144" s="5">
        <v>46184.702847222223</v>
      </c>
      <c r="J144" s="4">
        <v>4</v>
      </c>
      <c r="K144" s="4" t="s">
        <v>239</v>
      </c>
      <c r="L144" s="4" t="s">
        <v>240</v>
      </c>
    </row>
    <row r="145" spans="1:12" ht="28.5">
      <c r="A145" s="4">
        <v>34</v>
      </c>
      <c r="B145" s="4" t="s">
        <v>173</v>
      </c>
      <c r="C145" s="4" t="s">
        <v>172</v>
      </c>
      <c r="D145" s="4" t="s">
        <v>23</v>
      </c>
      <c r="E145" s="4" t="s">
        <v>51</v>
      </c>
      <c r="F145" s="4">
        <v>2</v>
      </c>
      <c r="G145" s="4" t="s">
        <v>239</v>
      </c>
      <c r="H145" s="5">
        <v>46184.702847222223</v>
      </c>
      <c r="I145" s="5">
        <v>46184.704236111109</v>
      </c>
      <c r="J145" s="4">
        <v>2</v>
      </c>
      <c r="K145" s="4" t="s">
        <v>241</v>
      </c>
      <c r="L145" s="4" t="s">
        <v>242</v>
      </c>
    </row>
    <row r="146" spans="1:12">
      <c r="A146" s="4">
        <v>34</v>
      </c>
      <c r="B146" s="4" t="s">
        <v>173</v>
      </c>
      <c r="C146" s="4" t="s">
        <v>172</v>
      </c>
      <c r="D146" s="4" t="s">
        <v>23</v>
      </c>
      <c r="E146" s="4" t="s">
        <v>51</v>
      </c>
      <c r="F146" s="4">
        <v>3</v>
      </c>
      <c r="G146" s="4" t="s">
        <v>241</v>
      </c>
      <c r="H146" s="5">
        <v>46184.704236111109</v>
      </c>
      <c r="I146" s="5">
        <v>46184.716041666667</v>
      </c>
      <c r="J146" s="4">
        <v>17</v>
      </c>
      <c r="K146" s="4" t="s">
        <v>53</v>
      </c>
      <c r="L146" s="4" t="s">
        <v>243</v>
      </c>
    </row>
    <row r="147" spans="1:12" ht="28.5">
      <c r="A147" s="4">
        <v>34</v>
      </c>
      <c r="B147" s="4" t="s">
        <v>173</v>
      </c>
      <c r="C147" s="4" t="s">
        <v>172</v>
      </c>
      <c r="D147" s="4" t="s">
        <v>23</v>
      </c>
      <c r="E147" s="4" t="s">
        <v>51</v>
      </c>
      <c r="F147" s="4">
        <v>4</v>
      </c>
      <c r="G147" s="4" t="s">
        <v>53</v>
      </c>
      <c r="H147" s="5">
        <v>46184.716041666667</v>
      </c>
      <c r="I147" s="5">
        <v>46184.720208333332</v>
      </c>
      <c r="J147" s="4">
        <v>6</v>
      </c>
      <c r="K147" s="4" t="s">
        <v>54</v>
      </c>
      <c r="L147" s="4" t="s">
        <v>244</v>
      </c>
    </row>
    <row r="148" spans="1:12">
      <c r="A148" s="4">
        <v>34</v>
      </c>
      <c r="B148" s="4" t="s">
        <v>173</v>
      </c>
      <c r="C148" s="4" t="s">
        <v>172</v>
      </c>
      <c r="D148" s="4" t="s">
        <v>23</v>
      </c>
      <c r="E148" s="4" t="s">
        <v>51</v>
      </c>
      <c r="F148" s="4">
        <v>5</v>
      </c>
      <c r="G148" s="4" t="s">
        <v>54</v>
      </c>
      <c r="H148" s="5">
        <v>46184.720208333332</v>
      </c>
      <c r="I148" s="5"/>
      <c r="J148" s="4">
        <v>0</v>
      </c>
      <c r="K148" s="4"/>
      <c r="L148" s="4" t="s">
        <v>245</v>
      </c>
    </row>
    <row r="149" spans="1:12">
      <c r="A149" s="4">
        <v>35</v>
      </c>
      <c r="B149" s="4" t="s">
        <v>177</v>
      </c>
      <c r="C149" s="4" t="s">
        <v>176</v>
      </c>
      <c r="D149" s="4" t="s">
        <v>22</v>
      </c>
      <c r="E149" s="4" t="s">
        <v>64</v>
      </c>
      <c r="F149" s="4">
        <v>1</v>
      </c>
      <c r="G149" s="4" t="s">
        <v>238</v>
      </c>
      <c r="H149" s="5">
        <v>46184.701458333337</v>
      </c>
      <c r="I149" s="5">
        <v>46184.702847222223</v>
      </c>
      <c r="J149" s="4">
        <v>2</v>
      </c>
      <c r="K149" s="4" t="s">
        <v>241</v>
      </c>
      <c r="L149" s="4" t="s">
        <v>240</v>
      </c>
    </row>
    <row r="150" spans="1:12">
      <c r="A150" s="4">
        <v>35</v>
      </c>
      <c r="B150" s="4" t="s">
        <v>177</v>
      </c>
      <c r="C150" s="4" t="s">
        <v>176</v>
      </c>
      <c r="D150" s="4" t="s">
        <v>22</v>
      </c>
      <c r="E150" s="4" t="s">
        <v>64</v>
      </c>
      <c r="F150" s="4">
        <v>2</v>
      </c>
      <c r="G150" s="4" t="s">
        <v>241</v>
      </c>
      <c r="H150" s="5">
        <v>46184.702847222223</v>
      </c>
      <c r="I150" s="5">
        <v>46184.707013888888</v>
      </c>
      <c r="J150" s="4">
        <v>6</v>
      </c>
      <c r="K150" s="4" t="s">
        <v>53</v>
      </c>
      <c r="L150" s="4" t="s">
        <v>243</v>
      </c>
    </row>
    <row r="151" spans="1:12" ht="28.5">
      <c r="A151" s="4">
        <v>35</v>
      </c>
      <c r="B151" s="4" t="s">
        <v>177</v>
      </c>
      <c r="C151" s="4" t="s">
        <v>176</v>
      </c>
      <c r="D151" s="4" t="s">
        <v>22</v>
      </c>
      <c r="E151" s="4" t="s">
        <v>64</v>
      </c>
      <c r="F151" s="4">
        <v>3</v>
      </c>
      <c r="G151" s="4" t="s">
        <v>53</v>
      </c>
      <c r="H151" s="5">
        <v>46184.707013888888</v>
      </c>
      <c r="I151" s="5">
        <v>46184.71465277778</v>
      </c>
      <c r="J151" s="4">
        <v>11</v>
      </c>
      <c r="K151" s="4" t="s">
        <v>54</v>
      </c>
      <c r="L151" s="4" t="s">
        <v>244</v>
      </c>
    </row>
    <row r="152" spans="1:12">
      <c r="A152" s="4">
        <v>35</v>
      </c>
      <c r="B152" s="4" t="s">
        <v>177</v>
      </c>
      <c r="C152" s="4" t="s">
        <v>176</v>
      </c>
      <c r="D152" s="4" t="s">
        <v>22</v>
      </c>
      <c r="E152" s="4" t="s">
        <v>64</v>
      </c>
      <c r="F152" s="4">
        <v>4</v>
      </c>
      <c r="G152" s="4" t="s">
        <v>54</v>
      </c>
      <c r="H152" s="5">
        <v>46184.71465277778</v>
      </c>
      <c r="I152" s="5"/>
      <c r="J152" s="4">
        <v>0</v>
      </c>
      <c r="K152" s="4"/>
      <c r="L152" s="4" t="s">
        <v>245</v>
      </c>
    </row>
    <row r="153" spans="1:12">
      <c r="A153" s="4">
        <v>36</v>
      </c>
      <c r="B153" s="4" t="s">
        <v>180</v>
      </c>
      <c r="C153" s="4" t="s">
        <v>179</v>
      </c>
      <c r="D153" s="4" t="s">
        <v>23</v>
      </c>
      <c r="E153" s="4" t="s">
        <v>51</v>
      </c>
      <c r="F153" s="4">
        <v>1</v>
      </c>
      <c r="G153" s="4" t="s">
        <v>238</v>
      </c>
      <c r="H153" s="5">
        <v>46184.701458333337</v>
      </c>
      <c r="I153" s="5">
        <v>46184.704236111109</v>
      </c>
      <c r="J153" s="4">
        <v>4</v>
      </c>
      <c r="K153" s="4" t="s">
        <v>239</v>
      </c>
      <c r="L153" s="4" t="s">
        <v>240</v>
      </c>
    </row>
    <row r="154" spans="1:12" ht="28.5">
      <c r="A154" s="4">
        <v>36</v>
      </c>
      <c r="B154" s="4" t="s">
        <v>180</v>
      </c>
      <c r="C154" s="4" t="s">
        <v>179</v>
      </c>
      <c r="D154" s="4" t="s">
        <v>23</v>
      </c>
      <c r="E154" s="4" t="s">
        <v>51</v>
      </c>
      <c r="F154" s="4">
        <v>2</v>
      </c>
      <c r="G154" s="4" t="s">
        <v>239</v>
      </c>
      <c r="H154" s="5">
        <v>46184.704236111109</v>
      </c>
      <c r="I154" s="5">
        <v>46184.704930555556</v>
      </c>
      <c r="J154" s="4">
        <v>1</v>
      </c>
      <c r="K154" s="4" t="s">
        <v>241</v>
      </c>
      <c r="L154" s="4" t="s">
        <v>242</v>
      </c>
    </row>
    <row r="155" spans="1:12">
      <c r="A155" s="4">
        <v>36</v>
      </c>
      <c r="B155" s="4" t="s">
        <v>180</v>
      </c>
      <c r="C155" s="4" t="s">
        <v>179</v>
      </c>
      <c r="D155" s="4" t="s">
        <v>23</v>
      </c>
      <c r="E155" s="4" t="s">
        <v>51</v>
      </c>
      <c r="F155" s="4">
        <v>3</v>
      </c>
      <c r="G155" s="4" t="s">
        <v>241</v>
      </c>
      <c r="H155" s="5">
        <v>46184.704930555556</v>
      </c>
      <c r="I155" s="5">
        <v>46184.71465277778</v>
      </c>
      <c r="J155" s="4">
        <v>14</v>
      </c>
      <c r="K155" s="4" t="s">
        <v>53</v>
      </c>
      <c r="L155" s="4" t="s">
        <v>243</v>
      </c>
    </row>
    <row r="156" spans="1:12" ht="28.5">
      <c r="A156" s="4">
        <v>36</v>
      </c>
      <c r="B156" s="4" t="s">
        <v>180</v>
      </c>
      <c r="C156" s="4" t="s">
        <v>179</v>
      </c>
      <c r="D156" s="4" t="s">
        <v>23</v>
      </c>
      <c r="E156" s="4" t="s">
        <v>51</v>
      </c>
      <c r="F156" s="4">
        <v>4</v>
      </c>
      <c r="G156" s="4" t="s">
        <v>53</v>
      </c>
      <c r="H156" s="5">
        <v>46184.71465277778</v>
      </c>
      <c r="I156" s="5">
        <v>46184.717430555553</v>
      </c>
      <c r="J156" s="4">
        <v>4</v>
      </c>
      <c r="K156" s="4" t="s">
        <v>54</v>
      </c>
      <c r="L156" s="4" t="s">
        <v>244</v>
      </c>
    </row>
    <row r="157" spans="1:12">
      <c r="A157" s="4">
        <v>36</v>
      </c>
      <c r="B157" s="4" t="s">
        <v>180</v>
      </c>
      <c r="C157" s="4" t="s">
        <v>179</v>
      </c>
      <c r="D157" s="4" t="s">
        <v>23</v>
      </c>
      <c r="E157" s="4" t="s">
        <v>51</v>
      </c>
      <c r="F157" s="4">
        <v>5</v>
      </c>
      <c r="G157" s="4" t="s">
        <v>54</v>
      </c>
      <c r="H157" s="5">
        <v>46184.717430555553</v>
      </c>
      <c r="I157" s="5"/>
      <c r="J157" s="4">
        <v>0</v>
      </c>
      <c r="K157" s="4"/>
      <c r="L157" s="4" t="s">
        <v>245</v>
      </c>
    </row>
    <row r="158" spans="1:12">
      <c r="A158" s="4">
        <v>37</v>
      </c>
      <c r="B158" s="4" t="s">
        <v>184</v>
      </c>
      <c r="C158" s="4" t="s">
        <v>183</v>
      </c>
      <c r="D158" s="4" t="s">
        <v>25</v>
      </c>
      <c r="E158" s="4" t="s">
        <v>64</v>
      </c>
      <c r="F158" s="4">
        <v>1</v>
      </c>
      <c r="G158" s="4" t="s">
        <v>238</v>
      </c>
      <c r="H158" s="5">
        <v>46185.635844907411</v>
      </c>
      <c r="I158" s="5">
        <v>46185.637233796297</v>
      </c>
      <c r="J158" s="4">
        <v>2</v>
      </c>
      <c r="K158" s="4" t="s">
        <v>241</v>
      </c>
      <c r="L158" s="4" t="s">
        <v>240</v>
      </c>
    </row>
    <row r="159" spans="1:12">
      <c r="A159" s="4">
        <v>37</v>
      </c>
      <c r="B159" s="4" t="s">
        <v>184</v>
      </c>
      <c r="C159" s="4" t="s">
        <v>183</v>
      </c>
      <c r="D159" s="4" t="s">
        <v>25</v>
      </c>
      <c r="E159" s="4" t="s">
        <v>64</v>
      </c>
      <c r="F159" s="4">
        <v>2</v>
      </c>
      <c r="G159" s="4" t="s">
        <v>241</v>
      </c>
      <c r="H159" s="5">
        <v>46185.637233796297</v>
      </c>
      <c r="I159" s="5">
        <v>46185.641400462962</v>
      </c>
      <c r="J159" s="4">
        <v>6</v>
      </c>
      <c r="K159" s="4" t="s">
        <v>54</v>
      </c>
      <c r="L159" s="4" t="s">
        <v>243</v>
      </c>
    </row>
    <row r="160" spans="1:12">
      <c r="A160" s="4">
        <v>37</v>
      </c>
      <c r="B160" s="4" t="s">
        <v>184</v>
      </c>
      <c r="C160" s="4" t="s">
        <v>183</v>
      </c>
      <c r="D160" s="4" t="s">
        <v>25</v>
      </c>
      <c r="E160" s="4" t="s">
        <v>64</v>
      </c>
      <c r="F160" s="4">
        <v>3</v>
      </c>
      <c r="G160" s="4" t="s">
        <v>54</v>
      </c>
      <c r="H160" s="5">
        <v>46185.641400462962</v>
      </c>
      <c r="I160" s="5"/>
      <c r="J160" s="4">
        <v>0</v>
      </c>
      <c r="K160" s="4"/>
      <c r="L160" s="4" t="s">
        <v>245</v>
      </c>
    </row>
    <row r="161" spans="1:12">
      <c r="A161" s="4">
        <v>38</v>
      </c>
      <c r="B161" s="4" t="s">
        <v>187</v>
      </c>
      <c r="C161" s="4" t="s">
        <v>186</v>
      </c>
      <c r="D161" s="4" t="s">
        <v>25</v>
      </c>
      <c r="E161" s="4" t="s">
        <v>64</v>
      </c>
      <c r="F161" s="4">
        <v>1</v>
      </c>
      <c r="G161" s="4" t="s">
        <v>238</v>
      </c>
      <c r="H161" s="5">
        <v>46185.643078703702</v>
      </c>
      <c r="I161" s="5">
        <v>46185.644467592596</v>
      </c>
      <c r="J161" s="4">
        <v>2</v>
      </c>
      <c r="K161" s="4" t="s">
        <v>241</v>
      </c>
      <c r="L161" s="4" t="s">
        <v>240</v>
      </c>
    </row>
    <row r="162" spans="1:12">
      <c r="A162" s="4">
        <v>38</v>
      </c>
      <c r="B162" s="4" t="s">
        <v>187</v>
      </c>
      <c r="C162" s="4" t="s">
        <v>186</v>
      </c>
      <c r="D162" s="4" t="s">
        <v>25</v>
      </c>
      <c r="E162" s="4" t="s">
        <v>64</v>
      </c>
      <c r="F162" s="4">
        <v>2</v>
      </c>
      <c r="G162" s="4" t="s">
        <v>241</v>
      </c>
      <c r="H162" s="5">
        <v>46185.644467592596</v>
      </c>
      <c r="I162" s="5">
        <v>46185.650023148148</v>
      </c>
      <c r="J162" s="4">
        <v>8</v>
      </c>
      <c r="K162" s="4" t="s">
        <v>53</v>
      </c>
      <c r="L162" s="4" t="s">
        <v>243</v>
      </c>
    </row>
    <row r="163" spans="1:12" ht="28.5">
      <c r="A163" s="4">
        <v>38</v>
      </c>
      <c r="B163" s="4" t="s">
        <v>187</v>
      </c>
      <c r="C163" s="4" t="s">
        <v>186</v>
      </c>
      <c r="D163" s="4" t="s">
        <v>25</v>
      </c>
      <c r="E163" s="4" t="s">
        <v>64</v>
      </c>
      <c r="F163" s="4">
        <v>3</v>
      </c>
      <c r="G163" s="4" t="s">
        <v>53</v>
      </c>
      <c r="H163" s="5">
        <v>46185.650023148148</v>
      </c>
      <c r="I163" s="5">
        <v>46185.659745370373</v>
      </c>
      <c r="J163" s="4">
        <v>14</v>
      </c>
      <c r="K163" s="4" t="s">
        <v>54</v>
      </c>
      <c r="L163" s="4" t="s">
        <v>244</v>
      </c>
    </row>
    <row r="164" spans="1:12">
      <c r="A164" s="4">
        <v>38</v>
      </c>
      <c r="B164" s="4" t="s">
        <v>187</v>
      </c>
      <c r="C164" s="4" t="s">
        <v>186</v>
      </c>
      <c r="D164" s="4" t="s">
        <v>25</v>
      </c>
      <c r="E164" s="4" t="s">
        <v>64</v>
      </c>
      <c r="F164" s="4">
        <v>4</v>
      </c>
      <c r="G164" s="4" t="s">
        <v>54</v>
      </c>
      <c r="H164" s="5">
        <v>46185.659745370373</v>
      </c>
      <c r="I164" s="5"/>
      <c r="J164" s="4">
        <v>0</v>
      </c>
      <c r="K164" s="4"/>
      <c r="L164" s="4" t="s">
        <v>245</v>
      </c>
    </row>
    <row r="165" spans="1:12">
      <c r="A165" s="4">
        <v>39</v>
      </c>
      <c r="B165" s="4" t="s">
        <v>190</v>
      </c>
      <c r="C165" s="4" t="s">
        <v>189</v>
      </c>
      <c r="D165" s="4" t="s">
        <v>21</v>
      </c>
      <c r="E165" s="4" t="s">
        <v>51</v>
      </c>
      <c r="F165" s="4">
        <v>1</v>
      </c>
      <c r="G165" s="4" t="s">
        <v>238</v>
      </c>
      <c r="H165" s="5">
        <v>46185.653136574074</v>
      </c>
      <c r="I165" s="5">
        <v>46185.655219907407</v>
      </c>
      <c r="J165" s="4">
        <v>3</v>
      </c>
      <c r="K165" s="4" t="s">
        <v>239</v>
      </c>
      <c r="L165" s="4" t="s">
        <v>240</v>
      </c>
    </row>
    <row r="166" spans="1:12" ht="28.5">
      <c r="A166" s="4">
        <v>39</v>
      </c>
      <c r="B166" s="4" t="s">
        <v>190</v>
      </c>
      <c r="C166" s="4" t="s">
        <v>189</v>
      </c>
      <c r="D166" s="4" t="s">
        <v>21</v>
      </c>
      <c r="E166" s="4" t="s">
        <v>51</v>
      </c>
      <c r="F166" s="4">
        <v>2</v>
      </c>
      <c r="G166" s="4" t="s">
        <v>239</v>
      </c>
      <c r="H166" s="5">
        <v>46185.655219907407</v>
      </c>
      <c r="I166" s="5">
        <v>46185.655914351853</v>
      </c>
      <c r="J166" s="4">
        <v>1</v>
      </c>
      <c r="K166" s="4" t="s">
        <v>241</v>
      </c>
      <c r="L166" s="4" t="s">
        <v>242</v>
      </c>
    </row>
    <row r="167" spans="1:12">
      <c r="A167" s="4">
        <v>39</v>
      </c>
      <c r="B167" s="4" t="s">
        <v>190</v>
      </c>
      <c r="C167" s="4" t="s">
        <v>189</v>
      </c>
      <c r="D167" s="4" t="s">
        <v>21</v>
      </c>
      <c r="E167" s="4" t="s">
        <v>51</v>
      </c>
      <c r="F167" s="4">
        <v>3</v>
      </c>
      <c r="G167" s="4" t="s">
        <v>241</v>
      </c>
      <c r="H167" s="5">
        <v>46185.655914351853</v>
      </c>
      <c r="I167" s="5">
        <v>46185.666331018518</v>
      </c>
      <c r="J167" s="4">
        <v>15</v>
      </c>
      <c r="K167" s="4" t="s">
        <v>53</v>
      </c>
      <c r="L167" s="4" t="s">
        <v>243</v>
      </c>
    </row>
    <row r="168" spans="1:12" ht="28.5">
      <c r="A168" s="4">
        <v>39</v>
      </c>
      <c r="B168" s="4" t="s">
        <v>190</v>
      </c>
      <c r="C168" s="4" t="s">
        <v>189</v>
      </c>
      <c r="D168" s="4" t="s">
        <v>21</v>
      </c>
      <c r="E168" s="4" t="s">
        <v>51</v>
      </c>
      <c r="F168" s="4">
        <v>4</v>
      </c>
      <c r="G168" s="4" t="s">
        <v>53</v>
      </c>
      <c r="H168" s="5">
        <v>46185.666331018518</v>
      </c>
      <c r="I168" s="5">
        <v>46185.67119212963</v>
      </c>
      <c r="J168" s="4">
        <v>7</v>
      </c>
      <c r="K168" s="4" t="s">
        <v>54</v>
      </c>
      <c r="L168" s="4" t="s">
        <v>244</v>
      </c>
    </row>
    <row r="169" spans="1:12">
      <c r="A169" s="4">
        <v>39</v>
      </c>
      <c r="B169" s="4" t="s">
        <v>190</v>
      </c>
      <c r="C169" s="4" t="s">
        <v>189</v>
      </c>
      <c r="D169" s="4" t="s">
        <v>21</v>
      </c>
      <c r="E169" s="4" t="s">
        <v>51</v>
      </c>
      <c r="F169" s="4">
        <v>5</v>
      </c>
      <c r="G169" s="4" t="s">
        <v>54</v>
      </c>
      <c r="H169" s="5">
        <v>46185.67119212963</v>
      </c>
      <c r="I169" s="5"/>
      <c r="J169" s="4">
        <v>0</v>
      </c>
      <c r="K169" s="4"/>
      <c r="L169" s="4" t="s">
        <v>245</v>
      </c>
    </row>
    <row r="170" spans="1:12">
      <c r="A170" s="4">
        <v>40</v>
      </c>
      <c r="B170" s="4" t="s">
        <v>194</v>
      </c>
      <c r="C170" s="4" t="s">
        <v>193</v>
      </c>
      <c r="D170" s="4" t="s">
        <v>21</v>
      </c>
      <c r="E170" s="4" t="s">
        <v>51</v>
      </c>
      <c r="F170" s="4">
        <v>1</v>
      </c>
      <c r="G170" s="4" t="s">
        <v>238</v>
      </c>
      <c r="H170" s="5">
        <v>46185.682280092595</v>
      </c>
      <c r="I170" s="5">
        <v>46185.684363425928</v>
      </c>
      <c r="J170" s="4">
        <v>3</v>
      </c>
      <c r="K170" s="4" t="s">
        <v>239</v>
      </c>
      <c r="L170" s="4" t="s">
        <v>240</v>
      </c>
    </row>
    <row r="171" spans="1:12" ht="28.5">
      <c r="A171" s="4">
        <v>40</v>
      </c>
      <c r="B171" s="4" t="s">
        <v>194</v>
      </c>
      <c r="C171" s="4" t="s">
        <v>193</v>
      </c>
      <c r="D171" s="4" t="s">
        <v>21</v>
      </c>
      <c r="E171" s="4" t="s">
        <v>51</v>
      </c>
      <c r="F171" s="4">
        <v>2</v>
      </c>
      <c r="G171" s="4" t="s">
        <v>239</v>
      </c>
      <c r="H171" s="5">
        <v>46185.684363425928</v>
      </c>
      <c r="I171" s="5">
        <v>46185.685752314814</v>
      </c>
      <c r="J171" s="4">
        <v>2</v>
      </c>
      <c r="K171" s="4" t="s">
        <v>241</v>
      </c>
      <c r="L171" s="4" t="s">
        <v>242</v>
      </c>
    </row>
    <row r="172" spans="1:12">
      <c r="A172" s="4">
        <v>40</v>
      </c>
      <c r="B172" s="4" t="s">
        <v>194</v>
      </c>
      <c r="C172" s="4" t="s">
        <v>193</v>
      </c>
      <c r="D172" s="4" t="s">
        <v>21</v>
      </c>
      <c r="E172" s="4" t="s">
        <v>51</v>
      </c>
      <c r="F172" s="4">
        <v>3</v>
      </c>
      <c r="G172" s="4" t="s">
        <v>241</v>
      </c>
      <c r="H172" s="5">
        <v>46185.685752314814</v>
      </c>
      <c r="I172" s="5">
        <v>46185.698252314818</v>
      </c>
      <c r="J172" s="4">
        <v>18</v>
      </c>
      <c r="K172" s="4" t="s">
        <v>53</v>
      </c>
      <c r="L172" s="4" t="s">
        <v>243</v>
      </c>
    </row>
    <row r="173" spans="1:12" ht="28.5">
      <c r="A173" s="4">
        <v>40</v>
      </c>
      <c r="B173" s="4" t="s">
        <v>194</v>
      </c>
      <c r="C173" s="4" t="s">
        <v>193</v>
      </c>
      <c r="D173" s="4" t="s">
        <v>21</v>
      </c>
      <c r="E173" s="4" t="s">
        <v>51</v>
      </c>
      <c r="F173" s="4">
        <v>4</v>
      </c>
      <c r="G173" s="4" t="s">
        <v>53</v>
      </c>
      <c r="H173" s="5">
        <v>46185.698252314818</v>
      </c>
      <c r="I173" s="5">
        <v>46185.706585648149</v>
      </c>
      <c r="J173" s="4">
        <v>12</v>
      </c>
      <c r="K173" s="4" t="s">
        <v>54</v>
      </c>
      <c r="L173" s="4" t="s">
        <v>244</v>
      </c>
    </row>
    <row r="174" spans="1:12">
      <c r="A174" s="4">
        <v>40</v>
      </c>
      <c r="B174" s="4" t="s">
        <v>194</v>
      </c>
      <c r="C174" s="4" t="s">
        <v>193</v>
      </c>
      <c r="D174" s="4" t="s">
        <v>21</v>
      </c>
      <c r="E174" s="4" t="s">
        <v>51</v>
      </c>
      <c r="F174" s="4">
        <v>5</v>
      </c>
      <c r="G174" s="4" t="s">
        <v>54</v>
      </c>
      <c r="H174" s="5">
        <v>46185.706585648149</v>
      </c>
      <c r="I174" s="5"/>
      <c r="J174" s="4">
        <v>0</v>
      </c>
      <c r="K174" s="4"/>
      <c r="L174" s="4" t="s">
        <v>245</v>
      </c>
    </row>
    <row r="175" spans="1:12" ht="28.5">
      <c r="A175" s="4">
        <v>41</v>
      </c>
      <c r="B175" s="4" t="s">
        <v>198</v>
      </c>
      <c r="C175" s="4" t="s">
        <v>197</v>
      </c>
      <c r="D175" s="4" t="s">
        <v>24</v>
      </c>
      <c r="E175" s="4" t="s">
        <v>64</v>
      </c>
      <c r="F175" s="4">
        <v>1</v>
      </c>
      <c r="G175" s="4" t="s">
        <v>238</v>
      </c>
      <c r="H175" s="5">
        <v>46185.698379629626</v>
      </c>
      <c r="I175" s="5">
        <v>46185.703240740739</v>
      </c>
      <c r="J175" s="4">
        <v>7</v>
      </c>
      <c r="K175" s="4" t="s">
        <v>241</v>
      </c>
      <c r="L175" s="4" t="s">
        <v>240</v>
      </c>
    </row>
    <row r="176" spans="1:12" ht="28.5">
      <c r="A176" s="4">
        <v>41</v>
      </c>
      <c r="B176" s="4" t="s">
        <v>198</v>
      </c>
      <c r="C176" s="4" t="s">
        <v>197</v>
      </c>
      <c r="D176" s="4" t="s">
        <v>24</v>
      </c>
      <c r="E176" s="4" t="s">
        <v>64</v>
      </c>
      <c r="F176" s="4">
        <v>2</v>
      </c>
      <c r="G176" s="4" t="s">
        <v>241</v>
      </c>
      <c r="H176" s="5">
        <v>46185.703240740739</v>
      </c>
      <c r="I176" s="5">
        <v>46185.720601851855</v>
      </c>
      <c r="J176" s="4">
        <v>25</v>
      </c>
      <c r="K176" s="4" t="s">
        <v>54</v>
      </c>
      <c r="L176" s="4" t="s">
        <v>243</v>
      </c>
    </row>
    <row r="177" spans="1:12" ht="28.5">
      <c r="A177" s="4">
        <v>41</v>
      </c>
      <c r="B177" s="4" t="s">
        <v>198</v>
      </c>
      <c r="C177" s="4" t="s">
        <v>197</v>
      </c>
      <c r="D177" s="4" t="s">
        <v>24</v>
      </c>
      <c r="E177" s="4" t="s">
        <v>64</v>
      </c>
      <c r="F177" s="4">
        <v>3</v>
      </c>
      <c r="G177" s="4" t="s">
        <v>54</v>
      </c>
      <c r="H177" s="5">
        <v>46185.720601851855</v>
      </c>
      <c r="I177" s="5"/>
      <c r="J177" s="4">
        <v>0</v>
      </c>
      <c r="K177" s="4"/>
      <c r="L177" s="4" t="s">
        <v>245</v>
      </c>
    </row>
    <row r="178" spans="1:12">
      <c r="A178" s="4">
        <v>42</v>
      </c>
      <c r="B178" s="4" t="s">
        <v>201</v>
      </c>
      <c r="C178" s="4" t="s">
        <v>200</v>
      </c>
      <c r="D178" s="4" t="s">
        <v>25</v>
      </c>
      <c r="E178" s="4" t="s">
        <v>64</v>
      </c>
      <c r="F178" s="4">
        <v>1</v>
      </c>
      <c r="G178" s="4" t="s">
        <v>238</v>
      </c>
      <c r="H178" s="5">
        <v>46186.636076388888</v>
      </c>
      <c r="I178" s="5">
        <v>46186.637465277781</v>
      </c>
      <c r="J178" s="4">
        <v>2</v>
      </c>
      <c r="K178" s="4" t="s">
        <v>241</v>
      </c>
      <c r="L178" s="4" t="s">
        <v>240</v>
      </c>
    </row>
    <row r="179" spans="1:12">
      <c r="A179" s="4">
        <v>42</v>
      </c>
      <c r="B179" s="4" t="s">
        <v>201</v>
      </c>
      <c r="C179" s="4" t="s">
        <v>200</v>
      </c>
      <c r="D179" s="4" t="s">
        <v>25</v>
      </c>
      <c r="E179" s="4" t="s">
        <v>64</v>
      </c>
      <c r="F179" s="4">
        <v>2</v>
      </c>
      <c r="G179" s="4" t="s">
        <v>241</v>
      </c>
      <c r="H179" s="5">
        <v>46186.637465277781</v>
      </c>
      <c r="I179" s="5">
        <v>46186.640243055554</v>
      </c>
      <c r="J179" s="4">
        <v>4</v>
      </c>
      <c r="K179" s="4" t="s">
        <v>53</v>
      </c>
      <c r="L179" s="4" t="s">
        <v>243</v>
      </c>
    </row>
    <row r="180" spans="1:12" ht="28.5">
      <c r="A180" s="4">
        <v>42</v>
      </c>
      <c r="B180" s="4" t="s">
        <v>201</v>
      </c>
      <c r="C180" s="4" t="s">
        <v>200</v>
      </c>
      <c r="D180" s="4" t="s">
        <v>25</v>
      </c>
      <c r="E180" s="4" t="s">
        <v>64</v>
      </c>
      <c r="F180" s="4">
        <v>3</v>
      </c>
      <c r="G180" s="4" t="s">
        <v>53</v>
      </c>
      <c r="H180" s="5">
        <v>46186.640243055554</v>
      </c>
      <c r="I180" s="5">
        <v>46186.647187499999</v>
      </c>
      <c r="J180" s="4">
        <v>10</v>
      </c>
      <c r="K180" s="4" t="s">
        <v>54</v>
      </c>
      <c r="L180" s="4" t="s">
        <v>244</v>
      </c>
    </row>
    <row r="181" spans="1:12">
      <c r="A181" s="4">
        <v>42</v>
      </c>
      <c r="B181" s="4" t="s">
        <v>201</v>
      </c>
      <c r="C181" s="4" t="s">
        <v>200</v>
      </c>
      <c r="D181" s="4" t="s">
        <v>25</v>
      </c>
      <c r="E181" s="4" t="s">
        <v>64</v>
      </c>
      <c r="F181" s="4">
        <v>4</v>
      </c>
      <c r="G181" s="4" t="s">
        <v>54</v>
      </c>
      <c r="H181" s="5">
        <v>46186.647187499999</v>
      </c>
      <c r="I181" s="5"/>
      <c r="J181" s="4">
        <v>0</v>
      </c>
      <c r="K181" s="4"/>
      <c r="L181" s="4" t="s">
        <v>245</v>
      </c>
    </row>
    <row r="182" spans="1:12">
      <c r="A182" s="4">
        <v>43</v>
      </c>
      <c r="B182" s="4" t="s">
        <v>204</v>
      </c>
      <c r="C182" s="4" t="s">
        <v>203</v>
      </c>
      <c r="D182" s="4" t="s">
        <v>25</v>
      </c>
      <c r="E182" s="4" t="s">
        <v>64</v>
      </c>
      <c r="F182" s="4">
        <v>1</v>
      </c>
      <c r="G182" s="4" t="s">
        <v>238</v>
      </c>
      <c r="H182" s="5">
        <v>46186.639097222222</v>
      </c>
      <c r="I182" s="5">
        <v>46186.640486111108</v>
      </c>
      <c r="J182" s="4">
        <v>2</v>
      </c>
      <c r="K182" s="4" t="s">
        <v>241</v>
      </c>
      <c r="L182" s="4" t="s">
        <v>240</v>
      </c>
    </row>
    <row r="183" spans="1:12">
      <c r="A183" s="4">
        <v>43</v>
      </c>
      <c r="B183" s="4" t="s">
        <v>204</v>
      </c>
      <c r="C183" s="4" t="s">
        <v>203</v>
      </c>
      <c r="D183" s="4" t="s">
        <v>25</v>
      </c>
      <c r="E183" s="4" t="s">
        <v>64</v>
      </c>
      <c r="F183" s="4">
        <v>2</v>
      </c>
      <c r="G183" s="4" t="s">
        <v>241</v>
      </c>
      <c r="H183" s="5">
        <v>46186.640486111108</v>
      </c>
      <c r="I183" s="5">
        <v>46186.644652777781</v>
      </c>
      <c r="J183" s="4">
        <v>6</v>
      </c>
      <c r="K183" s="4" t="s">
        <v>54</v>
      </c>
      <c r="L183" s="4" t="s">
        <v>243</v>
      </c>
    </row>
    <row r="184" spans="1:12">
      <c r="A184" s="4">
        <v>43</v>
      </c>
      <c r="B184" s="4" t="s">
        <v>204</v>
      </c>
      <c r="C184" s="4" t="s">
        <v>203</v>
      </c>
      <c r="D184" s="4" t="s">
        <v>25</v>
      </c>
      <c r="E184" s="4" t="s">
        <v>64</v>
      </c>
      <c r="F184" s="4">
        <v>3</v>
      </c>
      <c r="G184" s="4" t="s">
        <v>54</v>
      </c>
      <c r="H184" s="5">
        <v>46186.644652777781</v>
      </c>
      <c r="I184" s="5"/>
      <c r="J184" s="4">
        <v>0</v>
      </c>
      <c r="K184" s="4"/>
      <c r="L184" s="4" t="s">
        <v>245</v>
      </c>
    </row>
    <row r="185" spans="1:12">
      <c r="A185" s="4">
        <v>44</v>
      </c>
      <c r="B185" s="4" t="s">
        <v>207</v>
      </c>
      <c r="C185" s="4" t="s">
        <v>206</v>
      </c>
      <c r="D185" s="4" t="s">
        <v>21</v>
      </c>
      <c r="E185" s="4" t="s">
        <v>51</v>
      </c>
      <c r="F185" s="4">
        <v>1</v>
      </c>
      <c r="G185" s="4" t="s">
        <v>238</v>
      </c>
      <c r="H185" s="5">
        <v>46186.64434027778</v>
      </c>
      <c r="I185" s="5">
        <v>46186.646423611113</v>
      </c>
      <c r="J185" s="4">
        <v>3</v>
      </c>
      <c r="K185" s="4" t="s">
        <v>239</v>
      </c>
      <c r="L185" s="4" t="s">
        <v>240</v>
      </c>
    </row>
    <row r="186" spans="1:12" ht="28.5">
      <c r="A186" s="4">
        <v>44</v>
      </c>
      <c r="B186" s="4" t="s">
        <v>207</v>
      </c>
      <c r="C186" s="4" t="s">
        <v>206</v>
      </c>
      <c r="D186" s="4" t="s">
        <v>21</v>
      </c>
      <c r="E186" s="4" t="s">
        <v>51</v>
      </c>
      <c r="F186" s="4">
        <v>2</v>
      </c>
      <c r="G186" s="4" t="s">
        <v>239</v>
      </c>
      <c r="H186" s="5">
        <v>46186.646423611113</v>
      </c>
      <c r="I186" s="5">
        <v>46186.648506944446</v>
      </c>
      <c r="J186" s="4">
        <v>3</v>
      </c>
      <c r="K186" s="4" t="s">
        <v>241</v>
      </c>
      <c r="L186" s="4" t="s">
        <v>242</v>
      </c>
    </row>
    <row r="187" spans="1:12">
      <c r="A187" s="4">
        <v>44</v>
      </c>
      <c r="B187" s="4" t="s">
        <v>207</v>
      </c>
      <c r="C187" s="4" t="s">
        <v>206</v>
      </c>
      <c r="D187" s="4" t="s">
        <v>21</v>
      </c>
      <c r="E187" s="4" t="s">
        <v>51</v>
      </c>
      <c r="F187" s="4">
        <v>3</v>
      </c>
      <c r="G187" s="4" t="s">
        <v>241</v>
      </c>
      <c r="H187" s="5">
        <v>46186.648506944446</v>
      </c>
      <c r="I187" s="5">
        <v>46186.654062499998</v>
      </c>
      <c r="J187" s="4">
        <v>8</v>
      </c>
      <c r="K187" s="4" t="s">
        <v>53</v>
      </c>
      <c r="L187" s="4" t="s">
        <v>243</v>
      </c>
    </row>
    <row r="188" spans="1:12" ht="28.5">
      <c r="A188" s="4">
        <v>44</v>
      </c>
      <c r="B188" s="4" t="s">
        <v>207</v>
      </c>
      <c r="C188" s="4" t="s">
        <v>206</v>
      </c>
      <c r="D188" s="4" t="s">
        <v>21</v>
      </c>
      <c r="E188" s="4" t="s">
        <v>51</v>
      </c>
      <c r="F188" s="4">
        <v>4</v>
      </c>
      <c r="G188" s="4" t="s">
        <v>53</v>
      </c>
      <c r="H188" s="5">
        <v>46186.654062499998</v>
      </c>
      <c r="I188" s="5">
        <v>46186.659618055557</v>
      </c>
      <c r="J188" s="4">
        <v>8</v>
      </c>
      <c r="K188" s="4" t="s">
        <v>54</v>
      </c>
      <c r="L188" s="4" t="s">
        <v>244</v>
      </c>
    </row>
    <row r="189" spans="1:12">
      <c r="A189" s="4">
        <v>44</v>
      </c>
      <c r="B189" s="4" t="s">
        <v>207</v>
      </c>
      <c r="C189" s="4" t="s">
        <v>206</v>
      </c>
      <c r="D189" s="4" t="s">
        <v>21</v>
      </c>
      <c r="E189" s="4" t="s">
        <v>51</v>
      </c>
      <c r="F189" s="4">
        <v>5</v>
      </c>
      <c r="G189" s="4" t="s">
        <v>54</v>
      </c>
      <c r="H189" s="5">
        <v>46186.659618055557</v>
      </c>
      <c r="I189" s="5"/>
      <c r="J189" s="4">
        <v>0</v>
      </c>
      <c r="K189" s="4"/>
      <c r="L189" s="4" t="s">
        <v>245</v>
      </c>
    </row>
    <row r="190" spans="1:12">
      <c r="A190" s="4">
        <v>45</v>
      </c>
      <c r="B190" s="4" t="s">
        <v>211</v>
      </c>
      <c r="C190" s="4" t="s">
        <v>210</v>
      </c>
      <c r="D190" s="4" t="s">
        <v>22</v>
      </c>
      <c r="E190" s="4" t="s">
        <v>64</v>
      </c>
      <c r="F190" s="4">
        <v>1</v>
      </c>
      <c r="G190" s="4" t="s">
        <v>238</v>
      </c>
      <c r="H190" s="5">
        <v>46186.653229166666</v>
      </c>
      <c r="I190" s="5">
        <v>46186.654618055552</v>
      </c>
      <c r="J190" s="4">
        <v>2</v>
      </c>
      <c r="K190" s="4" t="s">
        <v>241</v>
      </c>
      <c r="L190" s="4" t="s">
        <v>240</v>
      </c>
    </row>
    <row r="191" spans="1:12">
      <c r="A191" s="4">
        <v>45</v>
      </c>
      <c r="B191" s="4" t="s">
        <v>211</v>
      </c>
      <c r="C191" s="4" t="s">
        <v>210</v>
      </c>
      <c r="D191" s="4" t="s">
        <v>22</v>
      </c>
      <c r="E191" s="4" t="s">
        <v>64</v>
      </c>
      <c r="F191" s="4">
        <v>2</v>
      </c>
      <c r="G191" s="4" t="s">
        <v>241</v>
      </c>
      <c r="H191" s="5">
        <v>46186.654618055552</v>
      </c>
      <c r="I191" s="5">
        <v>46186.662951388891</v>
      </c>
      <c r="J191" s="4">
        <v>12</v>
      </c>
      <c r="K191" s="4" t="s">
        <v>53</v>
      </c>
      <c r="L191" s="4" t="s">
        <v>243</v>
      </c>
    </row>
    <row r="192" spans="1:12" ht="28.5">
      <c r="A192" s="4">
        <v>45</v>
      </c>
      <c r="B192" s="4" t="s">
        <v>211</v>
      </c>
      <c r="C192" s="4" t="s">
        <v>210</v>
      </c>
      <c r="D192" s="4" t="s">
        <v>22</v>
      </c>
      <c r="E192" s="4" t="s">
        <v>64</v>
      </c>
      <c r="F192" s="4">
        <v>3</v>
      </c>
      <c r="G192" s="4" t="s">
        <v>53</v>
      </c>
      <c r="H192" s="5">
        <v>46186.662951388891</v>
      </c>
      <c r="I192" s="5">
        <v>46186.671979166669</v>
      </c>
      <c r="J192" s="4">
        <v>13</v>
      </c>
      <c r="K192" s="4" t="s">
        <v>54</v>
      </c>
      <c r="L192" s="4" t="s">
        <v>244</v>
      </c>
    </row>
    <row r="193" spans="1:12">
      <c r="A193" s="4">
        <v>45</v>
      </c>
      <c r="B193" s="4" t="s">
        <v>211</v>
      </c>
      <c r="C193" s="4" t="s">
        <v>210</v>
      </c>
      <c r="D193" s="4" t="s">
        <v>22</v>
      </c>
      <c r="E193" s="4" t="s">
        <v>64</v>
      </c>
      <c r="F193" s="4">
        <v>4</v>
      </c>
      <c r="G193" s="4" t="s">
        <v>54</v>
      </c>
      <c r="H193" s="5">
        <v>46186.671979166669</v>
      </c>
      <c r="I193" s="5"/>
      <c r="J193" s="4">
        <v>0</v>
      </c>
      <c r="K193" s="4"/>
      <c r="L193" s="4" t="s">
        <v>245</v>
      </c>
    </row>
    <row r="194" spans="1:12">
      <c r="A194" s="4">
        <v>46</v>
      </c>
      <c r="B194" s="4" t="s">
        <v>214</v>
      </c>
      <c r="C194" s="4" t="s">
        <v>213</v>
      </c>
      <c r="D194" s="4" t="s">
        <v>21</v>
      </c>
      <c r="E194" s="4" t="s">
        <v>51</v>
      </c>
      <c r="F194" s="4">
        <v>1</v>
      </c>
      <c r="G194" s="4" t="s">
        <v>238</v>
      </c>
      <c r="H194" s="5">
        <v>46186.660613425927</v>
      </c>
      <c r="I194" s="5">
        <v>46186.66269675926</v>
      </c>
      <c r="J194" s="4">
        <v>3</v>
      </c>
      <c r="K194" s="4" t="s">
        <v>239</v>
      </c>
      <c r="L194" s="4" t="s">
        <v>240</v>
      </c>
    </row>
    <row r="195" spans="1:12" ht="28.5">
      <c r="A195" s="4">
        <v>46</v>
      </c>
      <c r="B195" s="4" t="s">
        <v>214</v>
      </c>
      <c r="C195" s="4" t="s">
        <v>213</v>
      </c>
      <c r="D195" s="4" t="s">
        <v>21</v>
      </c>
      <c r="E195" s="4" t="s">
        <v>51</v>
      </c>
      <c r="F195" s="4">
        <v>2</v>
      </c>
      <c r="G195" s="4" t="s">
        <v>239</v>
      </c>
      <c r="H195" s="5">
        <v>46186.66269675926</v>
      </c>
      <c r="I195" s="5">
        <v>46186.664085648146</v>
      </c>
      <c r="J195" s="4">
        <v>2</v>
      </c>
      <c r="K195" s="4" t="s">
        <v>241</v>
      </c>
      <c r="L195" s="4" t="s">
        <v>242</v>
      </c>
    </row>
    <row r="196" spans="1:12">
      <c r="A196" s="4">
        <v>46</v>
      </c>
      <c r="B196" s="4" t="s">
        <v>214</v>
      </c>
      <c r="C196" s="4" t="s">
        <v>213</v>
      </c>
      <c r="D196" s="4" t="s">
        <v>21</v>
      </c>
      <c r="E196" s="4" t="s">
        <v>51</v>
      </c>
      <c r="F196" s="4">
        <v>3</v>
      </c>
      <c r="G196" s="4" t="s">
        <v>241</v>
      </c>
      <c r="H196" s="5">
        <v>46186.664085648146</v>
      </c>
      <c r="I196" s="5">
        <v>46186.673807870371</v>
      </c>
      <c r="J196" s="4">
        <v>14</v>
      </c>
      <c r="K196" s="4" t="s">
        <v>53</v>
      </c>
      <c r="L196" s="4" t="s">
        <v>243</v>
      </c>
    </row>
    <row r="197" spans="1:12" ht="28.5">
      <c r="A197" s="4">
        <v>46</v>
      </c>
      <c r="B197" s="4" t="s">
        <v>214</v>
      </c>
      <c r="C197" s="4" t="s">
        <v>213</v>
      </c>
      <c r="D197" s="4" t="s">
        <v>21</v>
      </c>
      <c r="E197" s="4" t="s">
        <v>51</v>
      </c>
      <c r="F197" s="4">
        <v>4</v>
      </c>
      <c r="G197" s="4" t="s">
        <v>53</v>
      </c>
      <c r="H197" s="5">
        <v>46186.673807870371</v>
      </c>
      <c r="I197" s="5">
        <v>46186.677974537037</v>
      </c>
      <c r="J197" s="4">
        <v>6</v>
      </c>
      <c r="K197" s="4" t="s">
        <v>54</v>
      </c>
      <c r="L197" s="4" t="s">
        <v>244</v>
      </c>
    </row>
    <row r="198" spans="1:12">
      <c r="A198" s="4">
        <v>46</v>
      </c>
      <c r="B198" s="4" t="s">
        <v>214</v>
      </c>
      <c r="C198" s="4" t="s">
        <v>213</v>
      </c>
      <c r="D198" s="4" t="s">
        <v>21</v>
      </c>
      <c r="E198" s="4" t="s">
        <v>51</v>
      </c>
      <c r="F198" s="4">
        <v>5</v>
      </c>
      <c r="G198" s="4" t="s">
        <v>54</v>
      </c>
      <c r="H198" s="5">
        <v>46186.677974537037</v>
      </c>
      <c r="I198" s="5"/>
      <c r="J198" s="4">
        <v>0</v>
      </c>
      <c r="K198" s="4"/>
      <c r="L198" s="4" t="s">
        <v>245</v>
      </c>
    </row>
    <row r="199" spans="1:12">
      <c r="A199" s="4">
        <v>47</v>
      </c>
      <c r="B199" s="4" t="s">
        <v>218</v>
      </c>
      <c r="C199" s="4" t="s">
        <v>217</v>
      </c>
      <c r="D199" s="4" t="s">
        <v>22</v>
      </c>
      <c r="E199" s="4" t="s">
        <v>51</v>
      </c>
      <c r="F199" s="4">
        <v>1</v>
      </c>
      <c r="G199" s="4" t="s">
        <v>238</v>
      </c>
      <c r="H199" s="5">
        <v>46186.674189814818</v>
      </c>
      <c r="I199" s="5">
        <v>46186.67627314815</v>
      </c>
      <c r="J199" s="4">
        <v>3</v>
      </c>
      <c r="K199" s="4" t="s">
        <v>239</v>
      </c>
      <c r="L199" s="4" t="s">
        <v>240</v>
      </c>
    </row>
    <row r="200" spans="1:12" ht="28.5">
      <c r="A200" s="4">
        <v>47</v>
      </c>
      <c r="B200" s="4" t="s">
        <v>218</v>
      </c>
      <c r="C200" s="4" t="s">
        <v>217</v>
      </c>
      <c r="D200" s="4" t="s">
        <v>22</v>
      </c>
      <c r="E200" s="4" t="s">
        <v>51</v>
      </c>
      <c r="F200" s="4">
        <v>2</v>
      </c>
      <c r="G200" s="4" t="s">
        <v>239</v>
      </c>
      <c r="H200" s="5">
        <v>46186.67627314815</v>
      </c>
      <c r="I200" s="5">
        <v>46186.678356481483</v>
      </c>
      <c r="J200" s="4">
        <v>3</v>
      </c>
      <c r="K200" s="4" t="s">
        <v>241</v>
      </c>
      <c r="L200" s="4" t="s">
        <v>242</v>
      </c>
    </row>
    <row r="201" spans="1:12">
      <c r="A201" s="4">
        <v>47</v>
      </c>
      <c r="B201" s="4" t="s">
        <v>218</v>
      </c>
      <c r="C201" s="4" t="s">
        <v>217</v>
      </c>
      <c r="D201" s="4" t="s">
        <v>22</v>
      </c>
      <c r="E201" s="4" t="s">
        <v>51</v>
      </c>
      <c r="F201" s="4">
        <v>3</v>
      </c>
      <c r="G201" s="4" t="s">
        <v>241</v>
      </c>
      <c r="H201" s="5">
        <v>46186.678356481483</v>
      </c>
      <c r="I201" s="5">
        <v>46186.684606481482</v>
      </c>
      <c r="J201" s="4">
        <v>9</v>
      </c>
      <c r="K201" s="4" t="s">
        <v>53</v>
      </c>
      <c r="L201" s="4" t="s">
        <v>243</v>
      </c>
    </row>
    <row r="202" spans="1:12" ht="28.5">
      <c r="A202" s="4">
        <v>47</v>
      </c>
      <c r="B202" s="4" t="s">
        <v>218</v>
      </c>
      <c r="C202" s="4" t="s">
        <v>217</v>
      </c>
      <c r="D202" s="4" t="s">
        <v>22</v>
      </c>
      <c r="E202" s="4" t="s">
        <v>51</v>
      </c>
      <c r="F202" s="4">
        <v>4</v>
      </c>
      <c r="G202" s="4" t="s">
        <v>53</v>
      </c>
      <c r="H202" s="5">
        <v>46186.684606481482</v>
      </c>
      <c r="I202" s="5">
        <v>46186.692245370374</v>
      </c>
      <c r="J202" s="4">
        <v>11</v>
      </c>
      <c r="K202" s="4" t="s">
        <v>54</v>
      </c>
      <c r="L202" s="4" t="s">
        <v>244</v>
      </c>
    </row>
    <row r="203" spans="1:12">
      <c r="A203" s="4">
        <v>47</v>
      </c>
      <c r="B203" s="4" t="s">
        <v>218</v>
      </c>
      <c r="C203" s="4" t="s">
        <v>217</v>
      </c>
      <c r="D203" s="4" t="s">
        <v>22</v>
      </c>
      <c r="E203" s="4" t="s">
        <v>51</v>
      </c>
      <c r="F203" s="4">
        <v>5</v>
      </c>
      <c r="G203" s="4" t="s">
        <v>54</v>
      </c>
      <c r="H203" s="5">
        <v>46186.692245370374</v>
      </c>
      <c r="I203" s="5"/>
      <c r="J203" s="4">
        <v>0</v>
      </c>
      <c r="K203" s="4"/>
      <c r="L203" s="4" t="s">
        <v>245</v>
      </c>
    </row>
    <row r="204" spans="1:12">
      <c r="A204" s="4">
        <v>48</v>
      </c>
      <c r="B204" s="4" t="s">
        <v>222</v>
      </c>
      <c r="C204" s="4" t="s">
        <v>221</v>
      </c>
      <c r="D204" s="4" t="s">
        <v>22</v>
      </c>
      <c r="E204" s="4" t="s">
        <v>64</v>
      </c>
      <c r="F204" s="4">
        <v>1</v>
      </c>
      <c r="G204" s="4" t="s">
        <v>238</v>
      </c>
      <c r="H204" s="5">
        <v>46186.692384259259</v>
      </c>
      <c r="I204" s="5">
        <v>46186.693773148145</v>
      </c>
      <c r="J204" s="4">
        <v>2</v>
      </c>
      <c r="K204" s="4" t="s">
        <v>241</v>
      </c>
      <c r="L204" s="4" t="s">
        <v>240</v>
      </c>
    </row>
    <row r="205" spans="1:12">
      <c r="A205" s="4">
        <v>48</v>
      </c>
      <c r="B205" s="4" t="s">
        <v>222</v>
      </c>
      <c r="C205" s="4" t="s">
        <v>221</v>
      </c>
      <c r="D205" s="4" t="s">
        <v>22</v>
      </c>
      <c r="E205" s="4" t="s">
        <v>64</v>
      </c>
      <c r="F205" s="4">
        <v>2</v>
      </c>
      <c r="G205" s="4" t="s">
        <v>241</v>
      </c>
      <c r="H205" s="5">
        <v>46186.693773148145</v>
      </c>
      <c r="I205" s="5">
        <v>46186.701412037037</v>
      </c>
      <c r="J205" s="4">
        <v>11</v>
      </c>
      <c r="K205" s="4" t="s">
        <v>53</v>
      </c>
      <c r="L205" s="4" t="s">
        <v>243</v>
      </c>
    </row>
    <row r="206" spans="1:12" ht="28.5">
      <c r="A206" s="4">
        <v>48</v>
      </c>
      <c r="B206" s="4" t="s">
        <v>222</v>
      </c>
      <c r="C206" s="4" t="s">
        <v>221</v>
      </c>
      <c r="D206" s="4" t="s">
        <v>22</v>
      </c>
      <c r="E206" s="4" t="s">
        <v>64</v>
      </c>
      <c r="F206" s="4">
        <v>3</v>
      </c>
      <c r="G206" s="4" t="s">
        <v>53</v>
      </c>
      <c r="H206" s="5">
        <v>46186.701412037037</v>
      </c>
      <c r="I206" s="5">
        <v>46186.704189814816</v>
      </c>
      <c r="J206" s="4">
        <v>4</v>
      </c>
      <c r="K206" s="4" t="s">
        <v>54</v>
      </c>
      <c r="L206" s="4" t="s">
        <v>244</v>
      </c>
    </row>
    <row r="207" spans="1:12">
      <c r="A207" s="4">
        <v>48</v>
      </c>
      <c r="B207" s="4" t="s">
        <v>222</v>
      </c>
      <c r="C207" s="4" t="s">
        <v>221</v>
      </c>
      <c r="D207" s="4" t="s">
        <v>22</v>
      </c>
      <c r="E207" s="4" t="s">
        <v>64</v>
      </c>
      <c r="F207" s="4">
        <v>4</v>
      </c>
      <c r="G207" s="4" t="s">
        <v>54</v>
      </c>
      <c r="H207" s="5">
        <v>46186.704189814816</v>
      </c>
      <c r="I207" s="5"/>
      <c r="J207" s="4">
        <v>0</v>
      </c>
      <c r="K207" s="4"/>
      <c r="L207" s="4" t="s">
        <v>245</v>
      </c>
    </row>
    <row r="208" spans="1:12">
      <c r="A208" s="4">
        <v>49</v>
      </c>
      <c r="B208" s="4" t="s">
        <v>225</v>
      </c>
      <c r="C208" s="4" t="s">
        <v>224</v>
      </c>
      <c r="D208" s="4" t="s">
        <v>26</v>
      </c>
      <c r="E208" s="4" t="s">
        <v>64</v>
      </c>
      <c r="F208" s="4">
        <v>1</v>
      </c>
      <c r="G208" s="4" t="s">
        <v>238</v>
      </c>
      <c r="H208" s="5">
        <v>46186.697060185186</v>
      </c>
      <c r="I208" s="5">
        <v>46186.700532407405</v>
      </c>
      <c r="J208" s="4">
        <v>5</v>
      </c>
      <c r="K208" s="4" t="s">
        <v>241</v>
      </c>
      <c r="L208" s="4" t="s">
        <v>240</v>
      </c>
    </row>
    <row r="209" spans="1:12">
      <c r="A209" s="4">
        <v>49</v>
      </c>
      <c r="B209" s="4" t="s">
        <v>225</v>
      </c>
      <c r="C209" s="4" t="s">
        <v>224</v>
      </c>
      <c r="D209" s="4" t="s">
        <v>26</v>
      </c>
      <c r="E209" s="4" t="s">
        <v>64</v>
      </c>
      <c r="F209" s="4">
        <v>2</v>
      </c>
      <c r="G209" s="4" t="s">
        <v>241</v>
      </c>
      <c r="H209" s="5">
        <v>46186.700532407405</v>
      </c>
      <c r="I209" s="5">
        <v>46186.722060185188</v>
      </c>
      <c r="J209" s="4">
        <v>31</v>
      </c>
      <c r="K209" s="4" t="s">
        <v>54</v>
      </c>
      <c r="L209" s="4" t="s">
        <v>243</v>
      </c>
    </row>
    <row r="210" spans="1:12">
      <c r="A210" s="4">
        <v>49</v>
      </c>
      <c r="B210" s="4" t="s">
        <v>225</v>
      </c>
      <c r="C210" s="4" t="s">
        <v>224</v>
      </c>
      <c r="D210" s="4" t="s">
        <v>26</v>
      </c>
      <c r="E210" s="4" t="s">
        <v>64</v>
      </c>
      <c r="F210" s="4">
        <v>3</v>
      </c>
      <c r="G210" s="4" t="s">
        <v>54</v>
      </c>
      <c r="H210" s="5">
        <v>46186.722060185188</v>
      </c>
      <c r="I210" s="5"/>
      <c r="J210" s="4">
        <v>0</v>
      </c>
      <c r="K210" s="4"/>
      <c r="L210" s="4" t="s">
        <v>245</v>
      </c>
    </row>
    <row r="211" spans="1:12">
      <c r="A211" s="4">
        <v>50</v>
      </c>
      <c r="B211" s="4" t="s">
        <v>228</v>
      </c>
      <c r="C211" s="4" t="s">
        <v>227</v>
      </c>
      <c r="D211" s="4" t="s">
        <v>21</v>
      </c>
      <c r="E211" s="4" t="s">
        <v>51</v>
      </c>
      <c r="F211" s="4">
        <v>1</v>
      </c>
      <c r="G211" s="4" t="s">
        <v>238</v>
      </c>
      <c r="H211" s="5">
        <v>46186.704861111109</v>
      </c>
      <c r="I211" s="5">
        <v>46186.706944444442</v>
      </c>
      <c r="J211" s="4">
        <v>3</v>
      </c>
      <c r="K211" s="4" t="s">
        <v>239</v>
      </c>
      <c r="L211" s="4" t="s">
        <v>240</v>
      </c>
    </row>
    <row r="212" spans="1:12" ht="28.5">
      <c r="A212" s="4">
        <v>50</v>
      </c>
      <c r="B212" s="4" t="s">
        <v>228</v>
      </c>
      <c r="C212" s="4" t="s">
        <v>227</v>
      </c>
      <c r="D212" s="4" t="s">
        <v>21</v>
      </c>
      <c r="E212" s="4" t="s">
        <v>51</v>
      </c>
      <c r="F212" s="4">
        <v>2</v>
      </c>
      <c r="G212" s="4" t="s">
        <v>239</v>
      </c>
      <c r="H212" s="5">
        <v>46186.706944444442</v>
      </c>
      <c r="I212" s="5">
        <v>46186.709027777775</v>
      </c>
      <c r="J212" s="4">
        <v>3</v>
      </c>
      <c r="K212" s="4" t="s">
        <v>241</v>
      </c>
      <c r="L212" s="4" t="s">
        <v>242</v>
      </c>
    </row>
    <row r="213" spans="1:12">
      <c r="A213" s="4">
        <v>50</v>
      </c>
      <c r="B213" s="4" t="s">
        <v>228</v>
      </c>
      <c r="C213" s="4" t="s">
        <v>227</v>
      </c>
      <c r="D213" s="4" t="s">
        <v>21</v>
      </c>
      <c r="E213" s="4" t="s">
        <v>51</v>
      </c>
      <c r="F213" s="4">
        <v>3</v>
      </c>
      <c r="G213" s="4" t="s">
        <v>241</v>
      </c>
      <c r="H213" s="5">
        <v>46186.709027777775</v>
      </c>
      <c r="I213" s="5">
        <v>46186.719444444447</v>
      </c>
      <c r="J213" s="4">
        <v>15</v>
      </c>
      <c r="K213" s="4" t="s">
        <v>53</v>
      </c>
      <c r="L213" s="4" t="s">
        <v>243</v>
      </c>
    </row>
    <row r="214" spans="1:12" ht="28.5">
      <c r="A214" s="4">
        <v>50</v>
      </c>
      <c r="B214" s="4" t="s">
        <v>228</v>
      </c>
      <c r="C214" s="4" t="s">
        <v>227</v>
      </c>
      <c r="D214" s="4" t="s">
        <v>21</v>
      </c>
      <c r="E214" s="4" t="s">
        <v>51</v>
      </c>
      <c r="F214" s="4">
        <v>4</v>
      </c>
      <c r="G214" s="4" t="s">
        <v>53</v>
      </c>
      <c r="H214" s="5">
        <v>46186.719444444447</v>
      </c>
      <c r="I214" s="5">
        <v>46186.729166666664</v>
      </c>
      <c r="J214" s="4">
        <v>14</v>
      </c>
      <c r="K214" s="4" t="s">
        <v>54</v>
      </c>
      <c r="L214" s="4" t="s">
        <v>244</v>
      </c>
    </row>
    <row r="215" spans="1:12">
      <c r="A215" s="4">
        <v>50</v>
      </c>
      <c r="B215" s="4" t="s">
        <v>228</v>
      </c>
      <c r="C215" s="4" t="s">
        <v>227</v>
      </c>
      <c r="D215" s="4" t="s">
        <v>21</v>
      </c>
      <c r="E215" s="4" t="s">
        <v>51</v>
      </c>
      <c r="F215" s="4">
        <v>5</v>
      </c>
      <c r="G215" s="4" t="s">
        <v>54</v>
      </c>
      <c r="H215" s="5">
        <v>46186.729166666664</v>
      </c>
      <c r="I215" s="5"/>
      <c r="J215" s="4">
        <v>0</v>
      </c>
      <c r="K215" s="4"/>
      <c r="L215" s="4" t="s">
        <v>245</v>
      </c>
    </row>
  </sheetData>
  <conditionalFormatting sqref="J2:J215">
    <cfRule type="dataBar" priority="1">
      <dataBar>
        <cfvo type="min"/>
        <cfvo type="max"/>
        <color rgb="FFFACC15"/>
      </dataBar>
    </cfRule>
    <cfRule type="dataBar" priority="2">
      <dataBar>
        <cfvo type="min"/>
        <cfvo type="max"/>
        <color rgb="FFFACC15"/>
      </dataBar>
      <extLst>
        <ext xmlns:x14="http://schemas.microsoft.com/office/spreadsheetml/2009/9/main" uri="{B025F937-C7B1-47D3-B67F-A62EFF666E3E}">
          <x14:id>{C6C986DA-6B46-B5A6-5A43-22607927B97D}</x14:id>
        </ext>
      </extLst>
    </cfRule>
  </conditionalFormatting>
  <dataValidations count="1">
    <dataValidation type="list" sqref="G2:G215" xr:uid="{00000000-0002-0000-0300-000000000000}">
      <formula1>"PENDING,APPROVED,ONGOING,FOR PICK-UP,DONE,CANCELLED"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C986DA-6B46-B5A6-5A43-22607927B97D}">
            <x14:dataBar>
              <x14:cfvo type="min"/>
              <x14:cfvo type="max"/>
              <x14:negativeFillColor auto="1"/>
              <x14:axisColor auto="1"/>
            </x14:dataBar>
          </x14:cfRule>
          <xm:sqref>J2:J215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7"/>
  <sheetViews>
    <sheetView workbookViewId="0">
      <selection sqref="A1:B1"/>
    </sheetView>
  </sheetViews>
  <sheetFormatPr defaultRowHeight="14.25"/>
  <cols>
    <col min="1" max="1" width="40" customWidth="1"/>
    <col min="2" max="2" width="28" customWidth="1"/>
  </cols>
  <sheetData>
    <row r="1" spans="1:2">
      <c r="A1" s="11" t="s">
        <v>246</v>
      </c>
      <c r="B1" s="12"/>
    </row>
    <row r="2" spans="1:2" ht="15">
      <c r="A2" s="7" t="s">
        <v>247</v>
      </c>
      <c r="B2" s="7" t="s">
        <v>248</v>
      </c>
    </row>
    <row r="3" spans="1:2">
      <c r="A3" s="2" t="s">
        <v>249</v>
      </c>
      <c r="B3" s="9">
        <f>AVERAGE(Table9_After_Orders!Q2:Q51)</f>
        <v>2.92</v>
      </c>
    </row>
    <row r="4" spans="1:2">
      <c r="A4" s="2" t="s">
        <v>250</v>
      </c>
      <c r="B4" s="9">
        <f>AVERAGE(Table9_After_Orders!R2:R51)</f>
        <v>20</v>
      </c>
    </row>
    <row r="5" spans="1:2">
      <c r="A5" s="2" t="s">
        <v>251</v>
      </c>
      <c r="B5" s="9" t="str">
        <f>INDEX(Table9_After_Orders!C2:C51,MATCH(MAX(Table9_After_Orders!Q2:Q51),Table9_After_Orders!Q2:Q51,0))</f>
        <v>R20260609-0001</v>
      </c>
    </row>
    <row r="6" spans="1:2">
      <c r="A6" s="2" t="s">
        <v>252</v>
      </c>
      <c r="B6" s="9" t="str">
        <f>INDEX(Table9_After_Orders!B2:B51,MATCH(MAX(Table9_After_Orders!Q2:Q51),Table9_After_Orders!Q2:Q51,0))</f>
        <v>Hannah Elise Bautista</v>
      </c>
    </row>
    <row r="7" spans="1:2">
      <c r="A7" s="2" t="s">
        <v>253</v>
      </c>
      <c r="B7" s="9">
        <f>MAX(Table9_After_Orders!Q2:Q51)</f>
        <v>8</v>
      </c>
    </row>
    <row r="8" spans="1:2">
      <c r="A8" s="2" t="s">
        <v>254</v>
      </c>
      <c r="B8" s="8">
        <f>COUNTIF(Table9_After_Orders!N2:N51,"DONE")/COUNTA(Table9_After_Orders!N2:N51)</f>
        <v>1</v>
      </c>
    </row>
    <row r="9" spans="1:2">
      <c r="A9" s="2" t="s">
        <v>255</v>
      </c>
      <c r="B9" s="2">
        <f>COUNTA(Table9_After_Orders!A2:A51)</f>
        <v>50</v>
      </c>
    </row>
    <row r="10" spans="1:2">
      <c r="A10" s="2" t="s">
        <v>256</v>
      </c>
      <c r="B10" s="2">
        <f>COUNTA(Table9_Status_Events!A2:A500)</f>
        <v>214</v>
      </c>
    </row>
    <row r="11" spans="1:2">
      <c r="A11" s="2"/>
      <c r="B11" s="2"/>
    </row>
    <row r="12" spans="1:2" ht="15">
      <c r="A12" s="7" t="s">
        <v>257</v>
      </c>
      <c r="B12" s="7"/>
    </row>
    <row r="13" spans="1:2" ht="15">
      <c r="A13" s="7" t="s">
        <v>232</v>
      </c>
      <c r="B13" s="7" t="s">
        <v>258</v>
      </c>
    </row>
    <row r="14" spans="1:2">
      <c r="A14" s="2" t="s">
        <v>238</v>
      </c>
      <c r="B14" s="2">
        <f>COUNTIF(Table9_After_Orders!N2:N51,"PENDING")</f>
        <v>0</v>
      </c>
    </row>
    <row r="15" spans="1:2">
      <c r="A15" s="2" t="s">
        <v>239</v>
      </c>
      <c r="B15" s="2">
        <f>COUNTIF(Table9_After_Orders!N2:N51,"APPROVED")</f>
        <v>0</v>
      </c>
    </row>
    <row r="16" spans="1:2">
      <c r="A16" s="2" t="s">
        <v>241</v>
      </c>
      <c r="B16" s="2">
        <f>COUNTIF(Table9_After_Orders!N2:N51,"ONGOING")</f>
        <v>0</v>
      </c>
    </row>
    <row r="17" spans="1:2">
      <c r="A17" s="2" t="s">
        <v>53</v>
      </c>
      <c r="B17" s="2">
        <f>COUNTIF(Table9_After_Orders!N2:N51,"FOR PICK-UP")</f>
        <v>0</v>
      </c>
    </row>
    <row r="18" spans="1:2">
      <c r="A18" s="2" t="s">
        <v>54</v>
      </c>
      <c r="B18" s="2">
        <f>COUNTIF(Table9_After_Orders!N2:N51,"DONE")</f>
        <v>50</v>
      </c>
    </row>
    <row r="19" spans="1:2">
      <c r="A19" s="2" t="s">
        <v>259</v>
      </c>
      <c r="B19" s="2">
        <f>COUNTIF(Table9_After_Orders!N2:N51,"CANCELLED")</f>
        <v>0</v>
      </c>
    </row>
    <row r="20" spans="1:2">
      <c r="A20" s="2"/>
      <c r="B20" s="2"/>
    </row>
    <row r="21" spans="1:2" ht="15">
      <c r="A21" s="7" t="s">
        <v>260</v>
      </c>
      <c r="B21" s="7"/>
    </row>
    <row r="22" spans="1:2" ht="15">
      <c r="A22" s="7" t="s">
        <v>232</v>
      </c>
      <c r="B22" s="10" t="s">
        <v>261</v>
      </c>
    </row>
    <row r="23" spans="1:2">
      <c r="A23" s="2" t="s">
        <v>238</v>
      </c>
      <c r="B23" s="9">
        <f>AVERAGEIF(Table9_Status_Events!G2:G500,"PENDING",Table9_Status_Events!J2:J500)</f>
        <v>2.92</v>
      </c>
    </row>
    <row r="24" spans="1:2">
      <c r="A24" s="2" t="s">
        <v>239</v>
      </c>
      <c r="B24" s="9">
        <f>AVERAGEIF(Table9_Status_Events!G2:G500,"APPROVED",Table9_Status_Events!J2:J500)</f>
        <v>1.8695652173913044</v>
      </c>
    </row>
    <row r="25" spans="1:2">
      <c r="A25" s="2" t="s">
        <v>241</v>
      </c>
      <c r="B25" s="9">
        <f>AVERAGEIF(Table9_Status_Events!G2:G500,"ONGOING",Table9_Status_Events!J2:J500)</f>
        <v>12.06</v>
      </c>
    </row>
    <row r="26" spans="1:2">
      <c r="A26" s="2" t="s">
        <v>53</v>
      </c>
      <c r="B26" s="9">
        <f>AVERAGEIF(Table9_Status_Events!G2:G500,"FOR PICK-UP",Table9_Status_Events!J2:J500)</f>
        <v>9.6829268292682933</v>
      </c>
    </row>
    <row r="27" spans="1:2">
      <c r="A27" s="2" t="s">
        <v>54</v>
      </c>
      <c r="B27" s="9">
        <f>AVERAGEIF(Table9_Status_Events!G2:G500,"DONE",Table9_Status_Events!J2:J500)</f>
        <v>0</v>
      </c>
    </row>
    <row r="28" spans="1:2">
      <c r="A28" s="2" t="s">
        <v>259</v>
      </c>
      <c r="B28" s="9">
        <f>IFERROR(AVERAGEIF(Table9_Status_Events!G2:G500,"CANCELLED",Table9_Status_Events!J2:J500),0)</f>
        <v>0</v>
      </c>
    </row>
    <row r="29" spans="1:2">
      <c r="A29" s="2"/>
      <c r="B29" s="2"/>
    </row>
    <row r="30" spans="1:2" ht="15">
      <c r="A30" s="7" t="s">
        <v>262</v>
      </c>
      <c r="B30" s="7"/>
    </row>
    <row r="31" spans="1:2" ht="15">
      <c r="A31" s="7" t="s">
        <v>232</v>
      </c>
      <c r="B31" s="7" t="s">
        <v>263</v>
      </c>
    </row>
    <row r="32" spans="1:2">
      <c r="A32" s="2" t="s">
        <v>238</v>
      </c>
      <c r="B32" s="2">
        <f>COUNTIF(Table9_Status_Events!G2:G500,"PENDING")</f>
        <v>50</v>
      </c>
    </row>
    <row r="33" spans="1:2">
      <c r="A33" s="2" t="s">
        <v>239</v>
      </c>
      <c r="B33" s="2">
        <f>COUNTIF(Table9_Status_Events!G2:G500,"APPROVED")</f>
        <v>23</v>
      </c>
    </row>
    <row r="34" spans="1:2">
      <c r="A34" s="2" t="s">
        <v>241</v>
      </c>
      <c r="B34" s="2">
        <f>COUNTIF(Table9_Status_Events!G2:G500,"ONGOING")</f>
        <v>50</v>
      </c>
    </row>
    <row r="35" spans="1:2">
      <c r="A35" s="2" t="s">
        <v>53</v>
      </c>
      <c r="B35" s="2">
        <f>COUNTIF(Table9_Status_Events!G2:G500,"FOR PICK-UP")</f>
        <v>41</v>
      </c>
    </row>
    <row r="36" spans="1:2">
      <c r="A36" s="2" t="s">
        <v>54</v>
      </c>
      <c r="B36" s="2">
        <f>COUNTIF(Table9_Status_Events!G2:G500,"DONE")</f>
        <v>50</v>
      </c>
    </row>
    <row r="37" spans="1:2">
      <c r="A37" s="2" t="s">
        <v>259</v>
      </c>
      <c r="B37" s="2">
        <f>COUNTIF(Table9_Status_Events!G2:G500,"CANCELLED")</f>
        <v>0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tabSelected="1" workbookViewId="0">
      <selection activeCell="C21" sqref="C21"/>
    </sheetView>
  </sheetViews>
  <sheetFormatPr defaultRowHeight="14.25"/>
  <cols>
    <col min="1" max="1" width="28" customWidth="1"/>
    <col min="2" max="2" width="32" customWidth="1"/>
    <col min="3" max="3" width="95" customWidth="1"/>
  </cols>
  <sheetData>
    <row r="1" spans="1:3" ht="15">
      <c r="A1" s="1" t="s">
        <v>264</v>
      </c>
      <c r="B1" s="1" t="s">
        <v>265</v>
      </c>
      <c r="C1" s="1" t="s">
        <v>266</v>
      </c>
    </row>
    <row r="2" spans="1:3">
      <c r="A2" s="2" t="s">
        <v>267</v>
      </c>
      <c r="B2" s="2" t="s">
        <v>19</v>
      </c>
      <c r="C2" s="2" t="s">
        <v>268</v>
      </c>
    </row>
    <row r="3" spans="1:3">
      <c r="A3" s="2" t="s">
        <v>269</v>
      </c>
      <c r="B3" s="2" t="s">
        <v>19</v>
      </c>
      <c r="C3" s="2" t="s">
        <v>270</v>
      </c>
    </row>
    <row r="4" spans="1:3" ht="28.5">
      <c r="A4" s="2" t="s">
        <v>269</v>
      </c>
      <c r="B4" s="2" t="s">
        <v>40</v>
      </c>
      <c r="C4" s="2" t="s">
        <v>271</v>
      </c>
    </row>
    <row r="5" spans="1:3">
      <c r="A5" s="2" t="s">
        <v>269</v>
      </c>
      <c r="B5" s="2" t="s">
        <v>41</v>
      </c>
      <c r="C5" s="2" t="s">
        <v>272</v>
      </c>
    </row>
    <row r="6" spans="1:3">
      <c r="A6" s="2" t="s">
        <v>269</v>
      </c>
      <c r="B6" s="2" t="s">
        <v>42</v>
      </c>
      <c r="C6" s="2" t="s">
        <v>273</v>
      </c>
    </row>
    <row r="7" spans="1:3">
      <c r="A7" s="2" t="s">
        <v>269</v>
      </c>
      <c r="B7" s="2" t="s">
        <v>43</v>
      </c>
      <c r="C7" s="2" t="s">
        <v>274</v>
      </c>
    </row>
    <row r="8" spans="1:3">
      <c r="A8" s="2" t="s">
        <v>269</v>
      </c>
      <c r="B8" s="2" t="s">
        <v>44</v>
      </c>
      <c r="C8" s="2" t="s">
        <v>275</v>
      </c>
    </row>
    <row r="9" spans="1:3">
      <c r="A9" s="2" t="s">
        <v>269</v>
      </c>
      <c r="B9" s="2" t="s">
        <v>45</v>
      </c>
      <c r="C9" s="2" t="s">
        <v>276</v>
      </c>
    </row>
    <row r="10" spans="1:3">
      <c r="A10" s="2" t="s">
        <v>277</v>
      </c>
      <c r="B10" s="2" t="s">
        <v>235</v>
      </c>
      <c r="C10" s="2" t="s">
        <v>278</v>
      </c>
    </row>
    <row r="11" spans="1:3">
      <c r="A11" s="2" t="s">
        <v>279</v>
      </c>
      <c r="B11" s="2" t="s">
        <v>280</v>
      </c>
      <c r="C11" s="2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Table9_After_Orders</vt:lpstr>
      <vt:lpstr>Table9_Status_Events</vt:lpstr>
      <vt:lpstr>Analytics_Summary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Luisa Marie C. Galdo</cp:lastModifiedBy>
  <dcterms:modified xsi:type="dcterms:W3CDTF">2026-06-30T05:47:05Z</dcterms:modified>
</cp:coreProperties>
</file>